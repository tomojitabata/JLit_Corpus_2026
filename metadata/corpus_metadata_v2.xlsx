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凡例" sheetId="1" state="visible" r:id="rId1"/>
    <sheet xmlns:r="http://schemas.openxmlformats.org/officeDocument/2006/relationships" name="metadata_v2" sheetId="2" state="visible" r:id="rId2"/>
    <sheet xmlns:r="http://schemas.openxmlformats.org/officeDocument/2006/relationships" name="changes_from_v1" sheetId="3" state="visible" r:id="rId3"/>
    <sheet xmlns:r="http://schemas.openxmlformats.org/officeDocument/2006/relationships" name="diagnostics" sheetId="4" state="visible" r:id="rId4"/>
    <sheet xmlns:r="http://schemas.openxmlformats.org/officeDocument/2006/relationships" name="representativeness" sheetId="5" state="visible" r:id="rId5"/>
    <sheet xmlns:r="http://schemas.openxmlformats.org/officeDocument/2006/relationships" name="expansion_candidates" sheetId="6" state="visible" r:id="rId6"/>
    <sheet xmlns:r="http://schemas.openxmlformats.org/officeDocument/2006/relationships" name="codeboo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sz val="12"/>
    </font>
    <font>
      <name val="Arial"/>
      <b val="1"/>
      <sz val="10"/>
    </font>
    <font>
      <name val="Arial"/>
      <i val="1"/>
      <color rgb="007F7F7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BD5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/>
    </xf>
    <xf numFmtId="0" fontId="3" fillId="3" borderId="0" applyAlignment="1" pivotButton="0" quotePrefix="0" xfId="0">
      <alignment vertical="top"/>
    </xf>
    <xf numFmtId="0" fontId="3" fillId="4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5" fillId="0" borderId="0" pivotButton="0" quotePrefix="0" xfId="0"/>
    <xf numFmtId="0" fontId="4" fillId="2" borderId="0" pivotButton="0" quotePrefix="0" xfId="0"/>
    <xf numFmtId="0" fontId="3" fillId="0" borderId="0" pivotButton="0" quotePrefix="0" xfId="0"/>
    <xf numFmtId="164" fontId="3" fillId="0" borderId="0" pivotButton="0" quotePrefix="0" xfId="0"/>
    <xf numFmtId="3" fontId="3" fillId="0" borderId="0" pivotButton="0" quotePrefix="0" xfId="0"/>
    <xf numFmtId="0" fontId="6" fillId="0" borderId="0" pivotButton="0" quotePrefix="0" xfId="0"/>
    <xf numFmtId="3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MetaV2" displayName="MetaV2" ref="A1:AQ65" headerRowCount="1">
  <autoFilter ref="A1:AQ65"/>
  <tableColumns count="43">
    <tableColumn id="1" name="id"/>
    <tableColumn id="2" name="file_v1"/>
    <tableColumn id="3" name="author_ja"/>
    <tableColumn id="4" name="author_reading"/>
    <tableColumn id="5" name="author_sex"/>
    <tableColumn id="6" name="author_birth"/>
    <tableColumn id="7" name="author_death"/>
    <tableColumn id="8" name="title_aozora"/>
    <tableColumn id="9" name="aozora_person_id"/>
    <tableColumn id="10" name="aozora_work_id"/>
    <tableColumn id="11" name="aozora_card_url"/>
    <tableColumn id="12" name="year_first"/>
    <tableColumn id="13" name="year_first_end"/>
    <tableColumn id="14" name="year_source"/>
    <tableColumn id="15" name="period"/>
    <tableColumn id="16" name="ndc"/>
    <tableColumn id="17" name="ndc_label"/>
    <tableColumn id="18" name="genre_main"/>
    <tableColumn id="19" name="genre_sub"/>
    <tableColumn id="20" name="form"/>
    <tableColumn id="21" name="audience"/>
    <tableColumn id="22" name="register_level"/>
    <tableColumn id="23" name="narration"/>
    <tableColumn id="24" name="first_medium"/>
    <tableColumn id="25" name="kana_orthography"/>
    <tableColumn id="26" name="completeness"/>
    <tableColumn id="27" name="note"/>
    <tableColumn id="28" name="tokens"/>
    <tableColumn id="29" name="types"/>
    <tableColumn id="30" name="ttr_x1000"/>
    <tableColumn id="31" name="kanji_ratio"/>
    <tableColumn id="32" name="katakana_ratio"/>
    <tableColumn id="33" name="bungo_per10k"/>
    <tableColumn id="34" name="kogo_per10k"/>
    <tableColumn id="35" name="p1_per10k"/>
    <tableColumn id="36" name="p3_per10k"/>
    <tableColumn id="37" name="gaiji_lost"/>
    <tableColumn id="38" name="kana_odoriji"/>
    <tableColumn id="39" name="kanji_odoriji"/>
    <tableColumn id="40" name="ditto_mark"/>
    <tableColumn id="41" name="latin_chars"/>
    <tableColumn id="42" name="arabic_digits"/>
    <tableColumn id="43" name="style_class"/>
  </tableColumns>
  <tableStyleInfo name="TableStyleLight9" showRowStripes="1"/>
</table>
</file>

<file path=xl/tables/table2.xml><?xml version="1.0" encoding="utf-8"?>
<table xmlns="http://schemas.openxmlformats.org/spreadsheetml/2006/main" id="2" name="Changes" displayName="Changes" ref="A1:F34" headerRowCount="1">
  <autoFilter ref="A1:F34"/>
  <tableColumns count="6">
    <tableColumn id="1" name="id"/>
    <tableColumn id="2" name="列"/>
    <tableColumn id="3" name="v1の値"/>
    <tableColumn id="4" name="v2の値"/>
    <tableColumn id="5" name="変更の種類"/>
    <tableColumn id="6" name="典拠"/>
  </tableColumns>
  <tableStyleInfo name="TableStyleLight9" showRowStripes="1"/>
</table>
</file>

<file path=xl/tables/table3.xml><?xml version="1.0" encoding="utf-8"?>
<table xmlns="http://schemas.openxmlformats.org/spreadsheetml/2006/main" id="3" name="Diag" displayName="Diag" ref="A1:Q65" headerRowCount="1">
  <autoFilter ref="A1:Q65"/>
  <tableColumns count="17">
    <tableColumn id="1" name="file"/>
    <tableColumn id="2" name="tokens"/>
    <tableColumn id="3" name="types"/>
    <tableColumn id="4" name="ttr_x1000"/>
    <tableColumn id="5" name="mean_sent_tokens"/>
    <tableColumn id="6" name="kanji_ratio"/>
    <tableColumn id="7" name="kata_ratio"/>
    <tableColumn id="8" name="bungo_per10k"/>
    <tableColumn id="9" name="kogo_per10k"/>
    <tableColumn id="10" name="p1_per10k"/>
    <tableColumn id="11" name="p3_per10k"/>
    <tableColumn id="12" name="gaiji_marker"/>
    <tableColumn id="13" name="kana_odoriji"/>
    <tableColumn id="14" name="kanji_odoriji"/>
    <tableColumn id="15" name="ditto_mark"/>
    <tableColumn id="16" name="latin_chars"/>
    <tableColumn id="17" name="arabic_digits"/>
  </tableColumns>
  <tableStyleInfo name="TableStyleLight9" showRowStripes="1"/>
</table>
</file>

<file path=xl/tables/table4.xml><?xml version="1.0" encoding="utf-8"?>
<table xmlns="http://schemas.openxmlformats.org/spreadsheetml/2006/main" id="4" name="Candidates" displayName="Candidates" ref="A1:P62" headerRowCount="1">
  <autoFilter ref="A1:P62"/>
  <tableColumns count="16">
    <tableColumn id="1" name="priority"/>
    <tableColumn id="2" name="gap"/>
    <tableColumn id="3" name="author_ja"/>
    <tableColumn id="4" name="title"/>
    <tableColumn id="5" name="year_target"/>
    <tableColumn id="6" name="period_target"/>
    <tableColumn id="7" name="ndc_expect"/>
    <tableColumn id="8" name="genre_main"/>
    <tableColumn id="9" name="genre_sub"/>
    <tableColumn id="10" name="style_expect"/>
    <tableColumn id="11" name="author_sex"/>
    <tableColumn id="12" name="rationale"/>
    <tableColumn id="13" name="aozora_status"/>
    <tableColumn id="14" name="aozora_work_id"/>
    <tableColumn id="15" name="resolution_note"/>
    <tableColumn id="16" name="in_corpus"/>
  </tableColumns>
  <tableStyleInfo name="TableStyleLight9" showRowStripes="1"/>
</table>
</file>

<file path=xl/tables/table5.xml><?xml version="1.0" encoding="utf-8"?>
<table xmlns="http://schemas.openxmlformats.org/spreadsheetml/2006/main" id="5" name="Codebook" displayName="Codebook" ref="A1:C29" headerRowCount="1">
  <autoFilter ref="A1:C29"/>
  <tableColumns count="3">
    <tableColumn id="1" name="列名"/>
    <tableColumn id="2" name="説明"/>
    <tableColumn id="3" name="統制語彙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近代日本文学コーパス（JLit）メタデータ v2</t>
        </is>
      </c>
    </row>
    <row r="2">
      <c r="A2" s="2" t="inlineStr"/>
    </row>
    <row r="3">
      <c r="A3" s="2" t="inlineStr">
        <is>
          <t>作成日: 2026-09-20 ／ 対象: DH_text_analytics_2025/corpus の全64ファイル</t>
        </is>
      </c>
    </row>
    <row r="4">
      <c r="A4" s="2" t="inlineStr"/>
    </row>
    <row r="5">
      <c r="A5" s="1" t="inlineStr">
        <is>
          <t>■ このブックの目的</t>
        </is>
      </c>
    </row>
    <row r="6">
      <c r="A6" s="2" t="inlineStr">
        <is>
          <t>v1（コーパスdescription.xlsx）の year・ndc・genre・comments・brow の5列を，典拠にもとづいて全面的に</t>
        </is>
      </c>
    </row>
    <row r="7">
      <c r="A7" s="2" t="inlineStr">
        <is>
          <t>作り直したもの。あわせて，テクスト本体の診断で見つかった問題を記録する。</t>
        </is>
      </c>
    </row>
    <row r="8">
      <c r="A8" s="2" t="inlineStr"/>
    </row>
    <row r="9">
      <c r="A9" s="1" t="inlineStr">
        <is>
          <t>■ 最重要の3点</t>
        </is>
      </c>
    </row>
    <row r="10">
      <c r="A10" s="2" t="inlineStr">
        <is>
          <t>(1) 乱歩_灰色の巨人.txt の本文は『魔法博士』と同一である。8-gram 一致率45.3%，冒頭は完全一致，</t>
        </is>
      </c>
    </row>
    <row r="11">
      <c r="A11" s="2" t="inlineStr">
        <is>
          <t xml:space="preserve">    章題も同一（動く映画館／悪魔の国／人造人間／黄金怪人／…）。『灰色の巨人』は事実上未収録であり，</t>
        </is>
      </c>
    </row>
    <row r="12">
      <c r="A12" s="2" t="inlineStr">
        <is>
          <t xml:space="preserve">    実効サンプル数は 64 ではなく 63 である。</t>
        </is>
      </c>
    </row>
    <row r="13">
      <c r="A13" s="2" t="inlineStr">
        <is>
          <t>(2) 本文中に ※ が計592箇所残存している。これは青空文庫の外字注記 ※［＃…］ から［＃…］だけを</t>
        </is>
      </c>
    </row>
    <row r="14">
      <c r="A14" s="2" t="inlineStr">
        <is>
          <t xml:space="preserve">    削除した結果であり，文字そのものが失われている（例：不如帰「合※の式」← 合巹の式）。</t>
        </is>
      </c>
    </row>
    <row r="15">
      <c r="A15" s="2" t="inlineStr">
        <is>
          <t xml:space="preserve">    最多は鴎外『伊沢蘭軒』166箇所，海野十三『敗戦日記』110箇所，宮本百合子『道標』86箇所。</t>
        </is>
      </c>
    </row>
    <row r="16">
      <c r="A16" s="2" t="inlineStr">
        <is>
          <t>(3) 海野十三_敗戦日記.txt には青空文庫の奥付・入力者注・外字一覧が本文末尾に残っている。</t>
        </is>
      </c>
    </row>
    <row r="17">
      <c r="A17" s="2" t="inlineStr">
        <is>
          <t xml:space="preserve">    「入力：青空文庫／校正：伊藤時也／ファイル作成：野口英司」以下が語数に算入されている。</t>
        </is>
      </c>
    </row>
    <row r="18">
      <c r="A18" s="2" t="inlineStr"/>
    </row>
    <row r="19">
      <c r="A19" s="1" t="inlineStr">
        <is>
          <t>■ シートの読み方</t>
        </is>
      </c>
    </row>
    <row r="20">
      <c r="A20" s="2" t="inlineStr">
        <is>
          <t>metadata_v2          : 1作品1行。year_source 列が editor の19行は，青空文庫カードに初出欄がなく</t>
        </is>
      </c>
    </row>
    <row r="21">
      <c r="A21" s="2" t="inlineStr">
        <is>
          <t xml:space="preserve">                       編者が補った値であり，先生のご確認をお願いしたい。</t>
        </is>
      </c>
    </row>
    <row r="22">
      <c r="A22" s="2" t="inlineStr">
        <is>
          <t>changes_from_v1      : v1 のどの値をなぜ変えたか。典拠列に青空文庫の図書カード番号を記す。</t>
        </is>
      </c>
    </row>
    <row r="23">
      <c r="A23" s="2" t="inlineStr">
        <is>
          <t>diagnostics          : テクスト実測値。gaiji_lost &gt; 0 の行は再構築が必要。</t>
        </is>
      </c>
    </row>
    <row r="24">
      <c r="A24" s="2" t="inlineStr">
        <is>
          <t>representativeness   : 代表性の集計。COUNTIFS で metadata_v2 を参照するため，metadata_v2 を</t>
        </is>
      </c>
    </row>
    <row r="25">
      <c r="A25" s="2" t="inlineStr">
        <is>
          <t xml:space="preserve">                       編集すれば自動で更新される。</t>
        </is>
      </c>
    </row>
    <row r="26">
      <c r="A26" s="2" t="inlineStr">
        <is>
          <t>expansion_candidates : 増補候補41件。priority 1=明治前期，2=女性作家，3=ジャンル，4=作家平準化，5=欠落補完。</t>
        </is>
      </c>
    </row>
    <row r="27">
      <c r="A27" s="2" t="inlineStr">
        <is>
          <t>codebook             : 列定義と統制語彙の一覧。</t>
        </is>
      </c>
    </row>
    <row r="28">
      <c r="A28" s="2" t="inlineStr"/>
    </row>
    <row r="29">
      <c r="A29" s="1" t="inlineStr">
        <is>
          <t>■ 注意</t>
        </is>
      </c>
    </row>
    <row r="30">
      <c r="A30" s="2" t="inlineStr">
        <is>
          <t>tokens / types / ttr 等の実測値は，v1 の分かち書きテクスト（外字欠落・注記混入を含む）に基づく。</t>
        </is>
      </c>
    </row>
    <row r="31">
      <c r="A31" s="2" t="inlineStr">
        <is>
          <t>再構築後は scripts/00_build_metadata_v2.py を再実行して更新すること。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05" customWidth="1" min="1" max="1"/>
    <col width="22.7" customWidth="1" min="2" max="2"/>
    <col width="12.35" customWidth="1" min="3" max="3"/>
    <col width="18.1" customWidth="1" min="4" max="4"/>
    <col width="13.5" customWidth="1" min="5" max="5"/>
    <col width="15.8" customWidth="1" min="6" max="6"/>
    <col width="15.8" customWidth="1" min="7" max="7"/>
    <col width="19.25" customWidth="1" min="8" max="8"/>
    <col width="20.4" customWidth="1" min="9" max="9"/>
    <col width="18.1" customWidth="1" min="10" max="10"/>
    <col width="46" customWidth="1" min="11" max="11"/>
    <col width="13.5" customWidth="1" min="12" max="12"/>
    <col width="18.1" customWidth="1" min="13" max="13"/>
    <col width="14.65" customWidth="1" min="14" max="14"/>
    <col width="21.55" customWidth="1" min="15" max="15"/>
    <col width="8" customWidth="1" min="16" max="16"/>
    <col width="16.95" customWidth="1" min="17" max="17"/>
    <col width="13.5" customWidth="1" min="18" max="18"/>
    <col width="27.3" customWidth="1" min="19" max="19"/>
    <col width="16.95" customWidth="1" min="20" max="20"/>
    <col width="11.2" customWidth="1" min="21" max="21"/>
    <col width="18.1" customWidth="1" min="22" max="22"/>
    <col width="12.35" customWidth="1" min="23" max="23"/>
    <col width="15.8" customWidth="1" min="24" max="24"/>
    <col width="20.4" customWidth="1" min="25" max="25"/>
    <col width="15.8" customWidth="1" min="26" max="26"/>
    <col width="60" customWidth="1" min="27" max="27"/>
    <col width="8.899999999999999" customWidth="1" min="28" max="28"/>
    <col width="8" customWidth="1" min="29" max="29"/>
    <col width="12.35" customWidth="1" min="30" max="30"/>
    <col width="14.65" customWidth="1" min="31" max="31"/>
    <col width="18.1" customWidth="1" min="32" max="32"/>
    <col width="15.8" customWidth="1" min="33" max="33"/>
    <col width="14.65" customWidth="1" min="34" max="34"/>
    <col width="12.35" customWidth="1" min="35" max="35"/>
    <col width="12.35" customWidth="1" min="36" max="36"/>
    <col width="13.5" customWidth="1" min="37" max="37"/>
    <col width="15.8" customWidth="1" min="38" max="38"/>
    <col width="16.95" customWidth="1" min="39" max="39"/>
    <col width="13.5" customWidth="1" min="40" max="40"/>
    <col width="14.65" customWidth="1" min="41" max="41"/>
    <col width="16.95" customWidth="1" min="42" max="42"/>
    <col width="14.65" customWidth="1" min="43" max="43"/>
  </cols>
  <sheetData>
    <row r="1" ht="30" customHeight="1">
      <c r="A1" s="3" t="inlineStr">
        <is>
          <t>id</t>
        </is>
      </c>
      <c r="B1" s="3" t="inlineStr">
        <is>
          <t>file_v1</t>
        </is>
      </c>
      <c r="C1" s="3" t="inlineStr">
        <is>
          <t>author_ja</t>
        </is>
      </c>
      <c r="D1" s="3" t="inlineStr">
        <is>
          <t>author_reading</t>
        </is>
      </c>
      <c r="E1" s="3" t="inlineStr">
        <is>
          <t>author_sex</t>
        </is>
      </c>
      <c r="F1" s="3" t="inlineStr">
        <is>
          <t>author_birth</t>
        </is>
      </c>
      <c r="G1" s="3" t="inlineStr">
        <is>
          <t>author_death</t>
        </is>
      </c>
      <c r="H1" s="3" t="inlineStr">
        <is>
          <t>title_aozora</t>
        </is>
      </c>
      <c r="I1" s="3" t="inlineStr">
        <is>
          <t>aozora_person_id</t>
        </is>
      </c>
      <c r="J1" s="3" t="inlineStr">
        <is>
          <t>aozora_work_id</t>
        </is>
      </c>
      <c r="K1" s="3" t="inlineStr">
        <is>
          <t>aozora_card_url</t>
        </is>
      </c>
      <c r="L1" s="3" t="inlineStr">
        <is>
          <t>year_first</t>
        </is>
      </c>
      <c r="M1" s="3" t="inlineStr">
        <is>
          <t>year_first_end</t>
        </is>
      </c>
      <c r="N1" s="3" t="inlineStr">
        <is>
          <t>year_source</t>
        </is>
      </c>
      <c r="O1" s="3" t="inlineStr">
        <is>
          <t>period</t>
        </is>
      </c>
      <c r="P1" s="3" t="inlineStr">
        <is>
          <t>ndc</t>
        </is>
      </c>
      <c r="Q1" s="3" t="inlineStr">
        <is>
          <t>ndc_label</t>
        </is>
      </c>
      <c r="R1" s="3" t="inlineStr">
        <is>
          <t>genre_main</t>
        </is>
      </c>
      <c r="S1" s="3" t="inlineStr">
        <is>
          <t>genre_sub</t>
        </is>
      </c>
      <c r="T1" s="3" t="inlineStr">
        <is>
          <t>form</t>
        </is>
      </c>
      <c r="U1" s="3" t="inlineStr">
        <is>
          <t>audience</t>
        </is>
      </c>
      <c r="V1" s="3" t="inlineStr">
        <is>
          <t>register_level</t>
        </is>
      </c>
      <c r="W1" s="3" t="inlineStr">
        <is>
          <t>narration</t>
        </is>
      </c>
      <c r="X1" s="3" t="inlineStr">
        <is>
          <t>first_medium</t>
        </is>
      </c>
      <c r="Y1" s="3" t="inlineStr">
        <is>
          <t>kana_orthography</t>
        </is>
      </c>
      <c r="Z1" s="3" t="inlineStr">
        <is>
          <t>completeness</t>
        </is>
      </c>
      <c r="AA1" s="3" t="inlineStr">
        <is>
          <t>note</t>
        </is>
      </c>
      <c r="AB1" s="3" t="inlineStr">
        <is>
          <t>tokens</t>
        </is>
      </c>
      <c r="AC1" s="3" t="inlineStr">
        <is>
          <t>types</t>
        </is>
      </c>
      <c r="AD1" s="3" t="inlineStr">
        <is>
          <t>ttr_x1000</t>
        </is>
      </c>
      <c r="AE1" s="3" t="inlineStr">
        <is>
          <t>kanji_ratio</t>
        </is>
      </c>
      <c r="AF1" s="3" t="inlineStr">
        <is>
          <t>katakana_ratio</t>
        </is>
      </c>
      <c r="AG1" s="3" t="inlineStr">
        <is>
          <t>bungo_per10k</t>
        </is>
      </c>
      <c r="AH1" s="3" t="inlineStr">
        <is>
          <t>kogo_per10k</t>
        </is>
      </c>
      <c r="AI1" s="3" t="inlineStr">
        <is>
          <t>p1_per10k</t>
        </is>
      </c>
      <c r="AJ1" s="3" t="inlineStr">
        <is>
          <t>p3_per10k</t>
        </is>
      </c>
      <c r="AK1" s="3" t="inlineStr">
        <is>
          <t>gaiji_lost</t>
        </is>
      </c>
      <c r="AL1" s="3" t="inlineStr">
        <is>
          <t>kana_odoriji</t>
        </is>
      </c>
      <c r="AM1" s="3" t="inlineStr">
        <is>
          <t>kanji_odoriji</t>
        </is>
      </c>
      <c r="AN1" s="3" t="inlineStr">
        <is>
          <t>ditto_mark</t>
        </is>
      </c>
      <c r="AO1" s="3" t="inlineStr">
        <is>
          <t>latin_chars</t>
        </is>
      </c>
      <c r="AP1" s="3" t="inlineStr">
        <is>
          <t>arabic_digits</t>
        </is>
      </c>
      <c r="AQ1" s="3" t="inlineStr">
        <is>
          <t>style_class</t>
        </is>
      </c>
    </row>
    <row r="2">
      <c r="A2" s="4" t="inlineStr">
        <is>
          <t>JLIT001</t>
        </is>
      </c>
      <c r="B2" s="4" t="inlineStr">
        <is>
          <t>中島敦_光と風と夢.txt</t>
        </is>
      </c>
      <c r="C2" s="4" t="inlineStr">
        <is>
          <t>中島敦</t>
        </is>
      </c>
      <c r="D2" s="4" t="inlineStr">
        <is>
          <t>なかじま あつし</t>
        </is>
      </c>
      <c r="E2" s="4" t="inlineStr">
        <is>
          <t>M</t>
        </is>
      </c>
      <c r="F2" s="4" t="n">
        <v>1909</v>
      </c>
      <c r="G2" s="4" t="n">
        <v>1942</v>
      </c>
      <c r="H2" s="4" t="inlineStr">
        <is>
          <t>光と風と夢</t>
        </is>
      </c>
      <c r="I2" s="4" t="inlineStr">
        <is>
          <t>000119</t>
        </is>
      </c>
      <c r="J2" s="4" t="inlineStr">
        <is>
          <t>1743</t>
        </is>
      </c>
      <c r="K2" s="4" t="inlineStr">
        <is>
          <t>https://www.aozora.gr.jp/cards/000119/card1743.html</t>
        </is>
      </c>
      <c r="L2" s="5" t="n">
        <v>1942</v>
      </c>
      <c r="M2" s="4" t="n">
        <v>1942</v>
      </c>
      <c r="N2" s="5" t="inlineStr">
        <is>
          <t>editor</t>
        </is>
      </c>
      <c r="O2" s="4" t="inlineStr">
        <is>
          <t>5_昭和戦前(1926-1944)</t>
        </is>
      </c>
      <c r="P2" s="4" t="inlineStr">
        <is>
          <t>913</t>
        </is>
      </c>
      <c r="Q2" s="4" t="inlineStr">
        <is>
          <t>日本文学／小説・物語</t>
        </is>
      </c>
      <c r="R2" s="4" t="inlineStr">
        <is>
          <t>Fiction</t>
        </is>
      </c>
      <c r="S2" s="4" t="inlineStr">
        <is>
          <t>Historical</t>
        </is>
      </c>
      <c r="T2" s="4" t="inlineStr">
        <is>
          <t>novel</t>
        </is>
      </c>
      <c r="U2" s="4" t="inlineStr">
        <is>
          <t>general</t>
        </is>
      </c>
      <c r="V2" s="4" t="inlineStr">
        <is>
          <t>canonical</t>
        </is>
      </c>
      <c r="W2" s="4" t="inlineStr">
        <is>
          <t>mixed</t>
        </is>
      </c>
      <c r="X2" s="4" t="inlineStr">
        <is>
          <t>magazine</t>
        </is>
      </c>
      <c r="Y2" s="4" t="inlineStr">
        <is>
          <t>新字新仮名</t>
        </is>
      </c>
      <c r="Z2" s="4" t="inlineStr">
        <is>
          <t>complete</t>
        </is>
      </c>
      <c r="AA2" s="4" t="inlineStr">
        <is>
          <t>初出『文學界』1942年5月。カードに初出欄なし</t>
        </is>
      </c>
      <c r="AB2" s="4" t="n">
        <v>50346</v>
      </c>
      <c r="AC2" s="4" t="n">
        <v>7266</v>
      </c>
      <c r="AD2" s="4" t="n">
        <v>144.32</v>
      </c>
      <c r="AE2" s="4" t="n">
        <v>0.3514</v>
      </c>
      <c r="AF2" s="4" t="n">
        <v>0.0838</v>
      </c>
      <c r="AG2" s="4" t="n">
        <v>25.2</v>
      </c>
      <c r="AH2" s="4" t="n">
        <v>15.3</v>
      </c>
      <c r="AI2" s="4" t="n">
        <v>91.8</v>
      </c>
      <c r="AJ2" s="4" t="n">
        <v>44.5</v>
      </c>
      <c r="AK2" s="4" t="n">
        <v>0</v>
      </c>
      <c r="AL2" s="4" t="n">
        <v>0</v>
      </c>
      <c r="AM2" s="4" t="n">
        <v>196</v>
      </c>
      <c r="AN2" s="4" t="n">
        <v>0</v>
      </c>
      <c r="AO2" s="4" t="n">
        <v>235</v>
      </c>
      <c r="AP2" s="4" t="n">
        <v>0</v>
      </c>
      <c r="AQ2" s="4" t="inlineStr">
        <is>
          <t>B_過渡的文体</t>
        </is>
      </c>
    </row>
    <row r="3">
      <c r="A3" s="4" t="inlineStr">
        <is>
          <t>JLIT002</t>
        </is>
      </c>
      <c r="B3" s="4" t="inlineStr">
        <is>
          <t>乱歩_宇宙怪人.txt</t>
        </is>
      </c>
      <c r="C3" s="4" t="inlineStr">
        <is>
          <t>江戸川乱歩</t>
        </is>
      </c>
      <c r="D3" s="4" t="inlineStr">
        <is>
          <t>えどがわ らんぽ</t>
        </is>
      </c>
      <c r="E3" s="4" t="inlineStr">
        <is>
          <t>M</t>
        </is>
      </c>
      <c r="F3" s="4" t="n">
        <v>1894</v>
      </c>
      <c r="G3" s="4" t="n">
        <v>1965</v>
      </c>
      <c r="H3" s="4" t="inlineStr">
        <is>
          <t>宇宙怪人</t>
        </is>
      </c>
      <c r="I3" s="4" t="inlineStr">
        <is>
          <t>001779</t>
        </is>
      </c>
      <c r="J3" s="4" t="inlineStr">
        <is>
          <t>56674</t>
        </is>
      </c>
      <c r="K3" s="4" t="inlineStr">
        <is>
          <t>https://www.aozora.gr.jp/cards/001779/card56674.html</t>
        </is>
      </c>
      <c r="L3" s="4" t="n">
        <v>1953</v>
      </c>
      <c r="M3" s="4" t="n">
        <v>1953</v>
      </c>
      <c r="N3" s="4" t="inlineStr">
        <is>
          <t>card</t>
        </is>
      </c>
      <c r="O3" s="4" t="inlineStr">
        <is>
          <t>6_昭和戦後(1945-)</t>
        </is>
      </c>
      <c r="P3" s="4" t="inlineStr">
        <is>
          <t>K913</t>
        </is>
      </c>
      <c r="Q3" s="4" t="inlineStr">
        <is>
          <t>児童書／日本の小説・物語</t>
        </is>
      </c>
      <c r="R3" s="4" t="inlineStr">
        <is>
          <t>Fiction</t>
        </is>
      </c>
      <c r="S3" s="4" t="inlineStr">
        <is>
          <t>Juvenile-Mystery</t>
        </is>
      </c>
      <c r="T3" s="4" t="inlineStr">
        <is>
          <t>novel</t>
        </is>
      </c>
      <c r="U3" s="4" t="inlineStr">
        <is>
          <t>juvenile</t>
        </is>
      </c>
      <c r="V3" s="4" t="inlineStr">
        <is>
          <t>popular</t>
        </is>
      </c>
      <c r="W3" s="4" t="inlineStr">
        <is>
          <t>third</t>
        </is>
      </c>
      <c r="X3" s="4" t="inlineStr">
        <is>
          <t>magazine</t>
        </is>
      </c>
      <c r="Y3" s="4" t="inlineStr">
        <is>
          <t>新字新仮名</t>
        </is>
      </c>
      <c r="Z3" s="4" t="inlineStr">
        <is>
          <t>complete</t>
        </is>
      </c>
      <c r="AA3" s="4" t="inlineStr">
        <is>
          <t>「少年」1953年1〜12月号</t>
        </is>
      </c>
      <c r="AB3" s="4" t="n">
        <v>53728</v>
      </c>
      <c r="AC3" s="4" t="n">
        <v>3959</v>
      </c>
      <c r="AD3" s="4" t="n">
        <v>73.69</v>
      </c>
      <c r="AE3" s="4" t="n">
        <v>0.138</v>
      </c>
      <c r="AF3" s="4" t="n">
        <v>0.0486</v>
      </c>
      <c r="AG3" s="4" t="n">
        <v>14</v>
      </c>
      <c r="AH3" s="4" t="n">
        <v>212.2</v>
      </c>
      <c r="AI3" s="4" t="n">
        <v>13.6</v>
      </c>
      <c r="AJ3" s="4" t="n">
        <v>1.1</v>
      </c>
      <c r="AK3" s="4" t="n">
        <v>0</v>
      </c>
      <c r="AL3" s="4" t="n">
        <v>0</v>
      </c>
      <c r="AM3" s="4" t="n">
        <v>36</v>
      </c>
      <c r="AN3" s="4" t="n">
        <v>0</v>
      </c>
      <c r="AO3" s="4" t="n">
        <v>0</v>
      </c>
      <c r="AP3" s="4" t="n">
        <v>0</v>
      </c>
      <c r="AQ3" s="4" t="inlineStr">
        <is>
          <t>C_口語体</t>
        </is>
      </c>
    </row>
    <row r="4">
      <c r="A4" s="4" t="inlineStr">
        <is>
          <t>JLIT003</t>
        </is>
      </c>
      <c r="B4" s="4" t="inlineStr">
        <is>
          <t>乱歩_少年探偵団.txt</t>
        </is>
      </c>
      <c r="C4" s="4" t="inlineStr">
        <is>
          <t>江戸川乱歩</t>
        </is>
      </c>
      <c r="D4" s="4" t="inlineStr">
        <is>
          <t>えどがわ らんぽ</t>
        </is>
      </c>
      <c r="E4" s="4" t="inlineStr">
        <is>
          <t>M</t>
        </is>
      </c>
      <c r="F4" s="4" t="n">
        <v>1894</v>
      </c>
      <c r="G4" s="4" t="n">
        <v>1965</v>
      </c>
      <c r="H4" s="4" t="inlineStr">
        <is>
          <t>少年探偵団</t>
        </is>
      </c>
      <c r="I4" s="4" t="inlineStr">
        <is>
          <t>001779</t>
        </is>
      </c>
      <c r="J4" s="4" t="inlineStr">
        <is>
          <t>56669</t>
        </is>
      </c>
      <c r="K4" s="4" t="inlineStr">
        <is>
          <t>https://www.aozora.gr.jp/cards/001779/card56669.html</t>
        </is>
      </c>
      <c r="L4" s="4" t="n">
        <v>1937</v>
      </c>
      <c r="M4" s="4" t="n">
        <v>1937</v>
      </c>
      <c r="N4" s="4" t="inlineStr">
        <is>
          <t>card</t>
        </is>
      </c>
      <c r="O4" s="4" t="inlineStr">
        <is>
          <t>5_昭和戦前(1926-1944)</t>
        </is>
      </c>
      <c r="P4" s="4" t="inlineStr">
        <is>
          <t>K913</t>
        </is>
      </c>
      <c r="Q4" s="4" t="inlineStr">
        <is>
          <t>児童書／日本の小説・物語</t>
        </is>
      </c>
      <c r="R4" s="4" t="inlineStr">
        <is>
          <t>Fiction</t>
        </is>
      </c>
      <c r="S4" s="4" t="inlineStr">
        <is>
          <t>Juvenile-Mystery</t>
        </is>
      </c>
      <c r="T4" s="4" t="inlineStr">
        <is>
          <t>novel</t>
        </is>
      </c>
      <c r="U4" s="4" t="inlineStr">
        <is>
          <t>juvenile</t>
        </is>
      </c>
      <c r="V4" s="4" t="inlineStr">
        <is>
          <t>popular</t>
        </is>
      </c>
      <c r="W4" s="4" t="inlineStr">
        <is>
          <t>third</t>
        </is>
      </c>
      <c r="X4" s="4" t="inlineStr">
        <is>
          <t>magazine</t>
        </is>
      </c>
      <c r="Y4" s="4" t="inlineStr">
        <is>
          <t>新字新仮名</t>
        </is>
      </c>
      <c r="Z4" s="4" t="inlineStr">
        <is>
          <t>complete</t>
        </is>
      </c>
      <c r="AA4" s="4" t="inlineStr">
        <is>
          <t>「少年倶楽部」1937年1〜12月号</t>
        </is>
      </c>
      <c r="AB4" s="4" t="n">
        <v>59938</v>
      </c>
      <c r="AC4" s="4" t="n">
        <v>4946</v>
      </c>
      <c r="AD4" s="4" t="n">
        <v>82.52</v>
      </c>
      <c r="AE4" s="4" t="n">
        <v>0.175</v>
      </c>
      <c r="AF4" s="4" t="n">
        <v>0.024</v>
      </c>
      <c r="AG4" s="4" t="n">
        <v>17.4</v>
      </c>
      <c r="AH4" s="4" t="n">
        <v>227.4</v>
      </c>
      <c r="AI4" s="4" t="n">
        <v>18.7</v>
      </c>
      <c r="AJ4" s="4" t="n">
        <v>2.7</v>
      </c>
      <c r="AK4" s="4" t="n">
        <v>0</v>
      </c>
      <c r="AL4" s="4" t="n">
        <v>0</v>
      </c>
      <c r="AM4" s="4" t="n">
        <v>30</v>
      </c>
      <c r="AN4" s="4" t="n">
        <v>0</v>
      </c>
      <c r="AO4" s="4" t="n">
        <v>32</v>
      </c>
      <c r="AP4" s="4" t="n">
        <v>5</v>
      </c>
      <c r="AQ4" s="4" t="inlineStr">
        <is>
          <t>C_口語体</t>
        </is>
      </c>
    </row>
    <row r="5">
      <c r="A5" s="6" t="inlineStr">
        <is>
          <t>JLIT004</t>
        </is>
      </c>
      <c r="B5" s="6" t="inlineStr">
        <is>
          <t>乱歩_灰色の巨人.txt</t>
        </is>
      </c>
      <c r="C5" s="6" t="inlineStr">
        <is>
          <t>江戸川乱歩</t>
        </is>
      </c>
      <c r="D5" s="6" t="inlineStr">
        <is>
          <t>えどがわ らんぽ</t>
        </is>
      </c>
      <c r="E5" s="6" t="inlineStr">
        <is>
          <t>M</t>
        </is>
      </c>
      <c r="F5" s="6" t="n">
        <v>1894</v>
      </c>
      <c r="G5" s="6" t="n">
        <v>1965</v>
      </c>
      <c r="H5" s="6" t="inlineStr">
        <is>
          <t>灰色の巨人</t>
        </is>
      </c>
      <c r="I5" s="6" t="inlineStr">
        <is>
          <t>001779</t>
        </is>
      </c>
      <c r="J5" s="6" t="inlineStr">
        <is>
          <t>56676</t>
        </is>
      </c>
      <c r="K5" s="6" t="inlineStr">
        <is>
          <t>https://www.aozora.gr.jp/cards/001779/card56676.html</t>
        </is>
      </c>
      <c r="L5" s="6" t="n">
        <v>1955</v>
      </c>
      <c r="M5" s="6" t="n">
        <v>1955</v>
      </c>
      <c r="N5" s="6" t="inlineStr">
        <is>
          <t>card</t>
        </is>
      </c>
      <c r="O5" s="6" t="inlineStr">
        <is>
          <t>6_昭和戦後(1945-)</t>
        </is>
      </c>
      <c r="P5" s="6" t="inlineStr">
        <is>
          <t>K913</t>
        </is>
      </c>
      <c r="Q5" s="6" t="inlineStr">
        <is>
          <t>児童書／日本の小説・物語</t>
        </is>
      </c>
      <c r="R5" s="6" t="inlineStr">
        <is>
          <t>Fiction</t>
        </is>
      </c>
      <c r="S5" s="6" t="inlineStr">
        <is>
          <t>Juvenile-Mystery</t>
        </is>
      </c>
      <c r="T5" s="6" t="inlineStr">
        <is>
          <t>novel</t>
        </is>
      </c>
      <c r="U5" s="6" t="inlineStr">
        <is>
          <t>juvenile</t>
        </is>
      </c>
      <c r="V5" s="6" t="inlineStr">
        <is>
          <t>popular</t>
        </is>
      </c>
      <c r="W5" s="6" t="inlineStr">
        <is>
          <t>third</t>
        </is>
      </c>
      <c r="X5" s="6" t="inlineStr">
        <is>
          <t>magazine</t>
        </is>
      </c>
      <c r="Y5" s="6" t="inlineStr">
        <is>
          <t>新字新仮名</t>
        </is>
      </c>
      <c r="Z5" s="6" t="inlineStr">
        <is>
          <t>DUPLICATE</t>
        </is>
      </c>
      <c r="AA5" s="6" t="inlineStr">
        <is>
          <t>【重大】当該ファイルの本文は『魔法博士』と同一。『灰色の巨人』は未収録。要再取得</t>
        </is>
      </c>
      <c r="AB5" s="6" t="n">
        <v>46258</v>
      </c>
      <c r="AC5" s="6" t="n">
        <v>3205</v>
      </c>
      <c r="AD5" s="6" t="n">
        <v>69.29000000000001</v>
      </c>
      <c r="AE5" s="6" t="n">
        <v>0.1443</v>
      </c>
      <c r="AF5" s="6" t="n">
        <v>0.0415</v>
      </c>
      <c r="AG5" s="6" t="n">
        <v>13.8</v>
      </c>
      <c r="AH5" s="6" t="n">
        <v>216</v>
      </c>
      <c r="AI5" s="6" t="n">
        <v>19.9</v>
      </c>
      <c r="AJ5" s="6" t="n">
        <v>0.6</v>
      </c>
      <c r="AK5" s="6" t="n">
        <v>0</v>
      </c>
      <c r="AL5" s="6" t="n">
        <v>0</v>
      </c>
      <c r="AM5" s="6" t="n">
        <v>6</v>
      </c>
      <c r="AN5" s="6" t="n">
        <v>0</v>
      </c>
      <c r="AO5" s="6" t="n">
        <v>30</v>
      </c>
      <c r="AP5" s="6" t="n">
        <v>0</v>
      </c>
      <c r="AQ5" s="6" t="inlineStr">
        <is>
          <t>C_口語体</t>
        </is>
      </c>
    </row>
    <row r="6">
      <c r="A6" s="4" t="inlineStr">
        <is>
          <t>JLIT005</t>
        </is>
      </c>
      <c r="B6" s="4" t="inlineStr">
        <is>
          <t>乱歩_魔法博士.txt</t>
        </is>
      </c>
      <c r="C6" s="4" t="inlineStr">
        <is>
          <t>江戸川乱歩</t>
        </is>
      </c>
      <c r="D6" s="4" t="inlineStr">
        <is>
          <t>えどがわ らんぽ</t>
        </is>
      </c>
      <c r="E6" s="4" t="inlineStr">
        <is>
          <t>M</t>
        </is>
      </c>
      <c r="F6" s="4" t="n">
        <v>1894</v>
      </c>
      <c r="G6" s="4" t="n">
        <v>1965</v>
      </c>
      <c r="H6" s="4" t="inlineStr">
        <is>
          <t>魔法博士</t>
        </is>
      </c>
      <c r="I6" s="4" t="inlineStr">
        <is>
          <t>001779</t>
        </is>
      </c>
      <c r="J6" s="4" t="inlineStr">
        <is>
          <t>56679</t>
        </is>
      </c>
      <c r="K6" s="4" t="inlineStr">
        <is>
          <t>https://www.aozora.gr.jp/cards/001779/card56679.html</t>
        </is>
      </c>
      <c r="L6" s="4" t="n">
        <v>1956</v>
      </c>
      <c r="M6" s="4" t="n">
        <v>1956</v>
      </c>
      <c r="N6" s="4" t="inlineStr">
        <is>
          <t>card</t>
        </is>
      </c>
      <c r="O6" s="4" t="inlineStr">
        <is>
          <t>6_昭和戦後(1945-)</t>
        </is>
      </c>
      <c r="P6" s="4" t="inlineStr">
        <is>
          <t>K913</t>
        </is>
      </c>
      <c r="Q6" s="4" t="inlineStr">
        <is>
          <t>児童書／日本の小説・物語</t>
        </is>
      </c>
      <c r="R6" s="4" t="inlineStr">
        <is>
          <t>Fiction</t>
        </is>
      </c>
      <c r="S6" s="4" t="inlineStr">
        <is>
          <t>Juvenile-Mystery</t>
        </is>
      </c>
      <c r="T6" s="4" t="inlineStr">
        <is>
          <t>novel</t>
        </is>
      </c>
      <c r="U6" s="4" t="inlineStr">
        <is>
          <t>juvenile</t>
        </is>
      </c>
      <c r="V6" s="4" t="inlineStr">
        <is>
          <t>popular</t>
        </is>
      </c>
      <c r="W6" s="4" t="inlineStr">
        <is>
          <t>third</t>
        </is>
      </c>
      <c r="X6" s="4" t="inlineStr">
        <is>
          <t>magazine</t>
        </is>
      </c>
      <c r="Y6" s="4" t="inlineStr">
        <is>
          <t>新字新仮名</t>
        </is>
      </c>
      <c r="Z6" s="4" t="inlineStr">
        <is>
          <t>complete</t>
        </is>
      </c>
      <c r="AA6" s="4" t="inlineStr">
        <is>
          <t>「少年」1956年1〜12月号</t>
        </is>
      </c>
      <c r="AB6" s="4" t="n">
        <v>46152</v>
      </c>
      <c r="AC6" s="4" t="n">
        <v>3204</v>
      </c>
      <c r="AD6" s="4" t="n">
        <v>69.42</v>
      </c>
      <c r="AE6" s="4" t="n">
        <v>0.1443</v>
      </c>
      <c r="AF6" s="4" t="n">
        <v>0.0414</v>
      </c>
      <c r="AG6" s="4" t="n">
        <v>13.9</v>
      </c>
      <c r="AH6" s="4" t="n">
        <v>216.5</v>
      </c>
      <c r="AI6" s="4" t="n">
        <v>19.9</v>
      </c>
      <c r="AJ6" s="4" t="n">
        <v>0.7</v>
      </c>
      <c r="AK6" s="4" t="n">
        <v>0</v>
      </c>
      <c r="AL6" s="4" t="n">
        <v>0</v>
      </c>
      <c r="AM6" s="4" t="n">
        <v>6</v>
      </c>
      <c r="AN6" s="4" t="n">
        <v>0</v>
      </c>
      <c r="AO6" s="4" t="n">
        <v>30</v>
      </c>
      <c r="AP6" s="4" t="n">
        <v>0</v>
      </c>
      <c r="AQ6" s="4" t="inlineStr">
        <is>
          <t>C_口語体</t>
        </is>
      </c>
    </row>
    <row r="7">
      <c r="A7" s="4" t="inlineStr">
        <is>
          <t>JLIT006</t>
        </is>
      </c>
      <c r="B7" s="4" t="inlineStr">
        <is>
          <t>啄木_鳥影.txt</t>
        </is>
      </c>
      <c r="C7" s="4" t="inlineStr">
        <is>
          <t>石川啄木</t>
        </is>
      </c>
      <c r="D7" s="4" t="inlineStr">
        <is>
          <t>いしかわ たくぼく</t>
        </is>
      </c>
      <c r="E7" s="4" t="inlineStr">
        <is>
          <t>M</t>
        </is>
      </c>
      <c r="F7" s="4" t="n">
        <v>1886</v>
      </c>
      <c r="G7" s="4" t="n">
        <v>1912</v>
      </c>
      <c r="H7" s="4" t="inlineStr">
        <is>
          <t>鳥影</t>
        </is>
      </c>
      <c r="I7" s="4" t="inlineStr">
        <is>
          <t>000153</t>
        </is>
      </c>
      <c r="J7" s="4" t="inlineStr">
        <is>
          <t>46947</t>
        </is>
      </c>
      <c r="K7" s="4" t="inlineStr">
        <is>
          <t>https://www.aozora.gr.jp/cards/000153/card46947.html</t>
        </is>
      </c>
      <c r="L7" s="4" t="n">
        <v>1908</v>
      </c>
      <c r="M7" s="4" t="n">
        <v>1908</v>
      </c>
      <c r="N7" s="4" t="inlineStr">
        <is>
          <t>card</t>
        </is>
      </c>
      <c r="O7" s="4" t="inlineStr">
        <is>
          <t>3_明治後期(1900-1911)</t>
        </is>
      </c>
      <c r="P7" s="4" t="inlineStr">
        <is>
          <t>913</t>
        </is>
      </c>
      <c r="Q7" s="4" t="inlineStr">
        <is>
          <t>日本文学／小説・物語</t>
        </is>
      </c>
      <c r="R7" s="4" t="inlineStr">
        <is>
          <t>Fiction</t>
        </is>
      </c>
      <c r="S7" s="4" t="inlineStr">
        <is>
          <t>Naturalist</t>
        </is>
      </c>
      <c r="T7" s="4" t="inlineStr">
        <is>
          <t>novel</t>
        </is>
      </c>
      <c r="U7" s="4" t="inlineStr">
        <is>
          <t>general</t>
        </is>
      </c>
      <c r="V7" s="4" t="inlineStr">
        <is>
          <t>canonical</t>
        </is>
      </c>
      <c r="W7" s="4" t="inlineStr">
        <is>
          <t>third</t>
        </is>
      </c>
      <c r="X7" s="4" t="inlineStr">
        <is>
          <t>newspaper</t>
        </is>
      </c>
      <c r="Y7" s="4" t="inlineStr">
        <is>
          <t>新字旧仮名</t>
        </is>
      </c>
      <c r="Z7" s="4" t="inlineStr">
        <is>
          <t>complete</t>
        </is>
      </c>
      <c r="AA7" s="4" t="inlineStr">
        <is>
          <t>「東京毎日新聞」1908年11〜12月。旧仮名・仮名踊り字を含む</t>
        </is>
      </c>
      <c r="AB7" s="4" t="n">
        <v>60529</v>
      </c>
      <c r="AC7" s="4" t="n">
        <v>5985</v>
      </c>
      <c r="AD7" s="4" t="n">
        <v>98.88</v>
      </c>
      <c r="AE7" s="4" t="n">
        <v>0.3676</v>
      </c>
      <c r="AF7" s="4" t="n">
        <v>0.0234</v>
      </c>
      <c r="AG7" s="4" t="n">
        <v>11.9</v>
      </c>
      <c r="AH7" s="4" t="n">
        <v>65.90000000000001</v>
      </c>
      <c r="AI7" s="4" t="n">
        <v>43.5</v>
      </c>
      <c r="AJ7" s="4" t="n">
        <v>6.8</v>
      </c>
      <c r="AK7" s="5" t="n">
        <v>10</v>
      </c>
      <c r="AL7" s="4" t="n">
        <v>75</v>
      </c>
      <c r="AM7" s="4" t="n">
        <v>147</v>
      </c>
      <c r="AN7" s="4" t="n">
        <v>0</v>
      </c>
      <c r="AO7" s="4" t="n">
        <v>43</v>
      </c>
      <c r="AP7" s="4" t="n">
        <v>0</v>
      </c>
      <c r="AQ7" s="4" t="inlineStr">
        <is>
          <t>C_口語体</t>
        </is>
      </c>
    </row>
    <row r="8">
      <c r="A8" s="4" t="inlineStr">
        <is>
          <t>JLIT007</t>
        </is>
      </c>
      <c r="B8" s="4" t="inlineStr">
        <is>
          <t>坂口安吾_JIRORIの女.txt</t>
        </is>
      </c>
      <c r="C8" s="4" t="inlineStr">
        <is>
          <t>坂口安吾</t>
        </is>
      </c>
      <c r="D8" s="4" t="inlineStr">
        <is>
          <t>さかぐち あんご</t>
        </is>
      </c>
      <c r="E8" s="4" t="inlineStr">
        <is>
          <t>M</t>
        </is>
      </c>
      <c r="F8" s="4" t="n">
        <v>1906</v>
      </c>
      <c r="G8" s="4" t="n">
        <v>1955</v>
      </c>
      <c r="H8" s="4" t="inlineStr">
        <is>
          <t>ジロリの女</t>
        </is>
      </c>
      <c r="I8" s="4" t="inlineStr">
        <is>
          <t>001095</t>
        </is>
      </c>
      <c r="J8" s="4" t="inlineStr">
        <is>
          <t>42827</t>
        </is>
      </c>
      <c r="K8" s="4" t="inlineStr">
        <is>
          <t>https://www.aozora.gr.jp/cards/001095/card42827.html</t>
        </is>
      </c>
      <c r="L8" s="4" t="n">
        <v>1948</v>
      </c>
      <c r="M8" s="4" t="n">
        <v>1948</v>
      </c>
      <c r="N8" s="4" t="inlineStr">
        <is>
          <t>card</t>
        </is>
      </c>
      <c r="O8" s="4" t="inlineStr">
        <is>
          <t>6_昭和戦後(1945-)</t>
        </is>
      </c>
      <c r="P8" s="4" t="inlineStr">
        <is>
          <t>913</t>
        </is>
      </c>
      <c r="Q8" s="4" t="inlineStr">
        <is>
          <t>日本文学／小説・物語</t>
        </is>
      </c>
      <c r="R8" s="4" t="inlineStr">
        <is>
          <t>Fiction</t>
        </is>
      </c>
      <c r="S8" s="4" t="inlineStr">
        <is>
          <t>Modern</t>
        </is>
      </c>
      <c r="T8" s="4" t="inlineStr">
        <is>
          <t>novella</t>
        </is>
      </c>
      <c r="U8" s="4" t="inlineStr">
        <is>
          <t>general</t>
        </is>
      </c>
      <c r="V8" s="4" t="inlineStr">
        <is>
          <t>canonical</t>
        </is>
      </c>
      <c r="W8" s="4" t="inlineStr">
        <is>
          <t>first</t>
        </is>
      </c>
      <c r="X8" s="4" t="inlineStr">
        <is>
          <t>magazine</t>
        </is>
      </c>
      <c r="Y8" s="4" t="inlineStr">
        <is>
          <t>新字新仮名</t>
        </is>
      </c>
      <c r="Z8" s="4" t="inlineStr">
        <is>
          <t>complete</t>
        </is>
      </c>
      <c r="AA8" s="4" t="inlineStr">
        <is>
          <t>ファイル名の 'JIRORI' はローマ字化。正題は「ジロリの女」</t>
        </is>
      </c>
      <c r="AB8" s="4" t="n">
        <v>31495</v>
      </c>
      <c r="AC8" s="4" t="n">
        <v>4433</v>
      </c>
      <c r="AD8" s="4" t="n">
        <v>140.75</v>
      </c>
      <c r="AE8" s="4" t="n">
        <v>0.2396</v>
      </c>
      <c r="AF8" s="4" t="n">
        <v>0.0587</v>
      </c>
      <c r="AG8" s="4" t="n">
        <v>23.5</v>
      </c>
      <c r="AH8" s="4" t="n">
        <v>138.8</v>
      </c>
      <c r="AI8" s="4" t="n">
        <v>218.1</v>
      </c>
      <c r="AJ8" s="4" t="n">
        <v>6.4</v>
      </c>
      <c r="AK8" s="4" t="n">
        <v>0</v>
      </c>
      <c r="AL8" s="4" t="n">
        <v>0</v>
      </c>
      <c r="AM8" s="4" t="n">
        <v>74</v>
      </c>
      <c r="AN8" s="4" t="n">
        <v>0</v>
      </c>
      <c r="AO8" s="4" t="n">
        <v>1</v>
      </c>
      <c r="AP8" s="4" t="n">
        <v>0</v>
      </c>
      <c r="AQ8" s="4" t="inlineStr">
        <is>
          <t>C_口語体</t>
        </is>
      </c>
    </row>
    <row r="9">
      <c r="A9" s="4" t="inlineStr">
        <is>
          <t>JLIT008</t>
        </is>
      </c>
      <c r="B9" s="4" t="inlineStr">
        <is>
          <t>坂口安吾_不連続殺人.txt</t>
        </is>
      </c>
      <c r="C9" s="4" t="inlineStr">
        <is>
          <t>坂口安吾</t>
        </is>
      </c>
      <c r="D9" s="4" t="inlineStr">
        <is>
          <t>さかぐち あんご</t>
        </is>
      </c>
      <c r="E9" s="4" t="inlineStr">
        <is>
          <t>M</t>
        </is>
      </c>
      <c r="F9" s="4" t="n">
        <v>1906</v>
      </c>
      <c r="G9" s="4" t="n">
        <v>1955</v>
      </c>
      <c r="H9" s="4" t="inlineStr">
        <is>
          <t>不連続殺人事件</t>
        </is>
      </c>
      <c r="I9" s="4" t="inlineStr">
        <is>
          <t>001095</t>
        </is>
      </c>
      <c r="J9" s="4" t="inlineStr">
        <is>
          <t>42626</t>
        </is>
      </c>
      <c r="K9" s="4" t="inlineStr">
        <is>
          <t>https://www.aozora.gr.jp/cards/001095/card42626.html</t>
        </is>
      </c>
      <c r="L9" s="4" t="n">
        <v>1947</v>
      </c>
      <c r="M9" s="4" t="n">
        <v>1948</v>
      </c>
      <c r="N9" s="4" t="inlineStr">
        <is>
          <t>card</t>
        </is>
      </c>
      <c r="O9" s="4" t="inlineStr">
        <is>
          <t>6_昭和戦後(1945-)</t>
        </is>
      </c>
      <c r="P9" s="4" t="inlineStr">
        <is>
          <t>913</t>
        </is>
      </c>
      <c r="Q9" s="4" t="inlineStr">
        <is>
          <t>日本文学／小説・物語</t>
        </is>
      </c>
      <c r="R9" s="4" t="inlineStr">
        <is>
          <t>Fiction</t>
        </is>
      </c>
      <c r="S9" s="4" t="inlineStr">
        <is>
          <t>Detective</t>
        </is>
      </c>
      <c r="T9" s="4" t="inlineStr">
        <is>
          <t>novel</t>
        </is>
      </c>
      <c r="U9" s="4" t="inlineStr">
        <is>
          <t>general</t>
        </is>
      </c>
      <c r="V9" s="4" t="inlineStr">
        <is>
          <t>middlebrow</t>
        </is>
      </c>
      <c r="W9" s="4" t="inlineStr">
        <is>
          <t>first</t>
        </is>
      </c>
      <c r="X9" s="4" t="inlineStr">
        <is>
          <t>magazine</t>
        </is>
      </c>
      <c r="Y9" s="4" t="inlineStr">
        <is>
          <t>新字新仮名</t>
        </is>
      </c>
      <c r="Z9" s="4" t="inlineStr">
        <is>
          <t>complete</t>
        </is>
      </c>
      <c r="AA9" s="4" t="inlineStr">
        <is>
          <t>「日本小説」1947年8月〜1948年8月</t>
        </is>
      </c>
      <c r="AB9" s="4" t="n">
        <v>99434</v>
      </c>
      <c r="AC9" s="4" t="n">
        <v>8859</v>
      </c>
      <c r="AD9" s="4" t="n">
        <v>89.09</v>
      </c>
      <c r="AE9" s="4" t="n">
        <v>0.2728</v>
      </c>
      <c r="AF9" s="4" t="n">
        <v>0.0516</v>
      </c>
      <c r="AG9" s="4" t="n">
        <v>22.8</v>
      </c>
      <c r="AH9" s="4" t="n">
        <v>161.9</v>
      </c>
      <c r="AI9" s="4" t="n">
        <v>67.90000000000001</v>
      </c>
      <c r="AJ9" s="4" t="n">
        <v>11</v>
      </c>
      <c r="AK9" s="4" t="n">
        <v>0</v>
      </c>
      <c r="AL9" s="4" t="n">
        <v>0</v>
      </c>
      <c r="AM9" s="4" t="n">
        <v>316</v>
      </c>
      <c r="AN9" s="4" t="n">
        <v>0</v>
      </c>
      <c r="AO9" s="4" t="n">
        <v>55</v>
      </c>
      <c r="AP9" s="4" t="n">
        <v>1</v>
      </c>
      <c r="AQ9" s="4" t="inlineStr">
        <is>
          <t>C_口語体</t>
        </is>
      </c>
    </row>
    <row r="10">
      <c r="A10" s="4" t="inlineStr">
        <is>
          <t>JLIT009</t>
        </is>
      </c>
      <c r="B10" s="4" t="inlineStr">
        <is>
          <t>坂口安吾_二流の人.txt</t>
        </is>
      </c>
      <c r="C10" s="4" t="inlineStr">
        <is>
          <t>坂口安吾</t>
        </is>
      </c>
      <c r="D10" s="4" t="inlineStr">
        <is>
          <t>さかぐち あんご</t>
        </is>
      </c>
      <c r="E10" s="4" t="inlineStr">
        <is>
          <t>M</t>
        </is>
      </c>
      <c r="F10" s="4" t="n">
        <v>1906</v>
      </c>
      <c r="G10" s="4" t="n">
        <v>1955</v>
      </c>
      <c r="H10" s="4" t="inlineStr">
        <is>
          <t>二流の人</t>
        </is>
      </c>
      <c r="I10" s="4" t="inlineStr">
        <is>
          <t>001095</t>
        </is>
      </c>
      <c r="J10" s="4" t="inlineStr">
        <is>
          <t>42919</t>
        </is>
      </c>
      <c r="K10" s="4" t="inlineStr">
        <is>
          <t>https://www.aozora.gr.jp/cards/001095/card42919.html</t>
        </is>
      </c>
      <c r="L10" s="4" t="n">
        <v>1947</v>
      </c>
      <c r="M10" s="4" t="n">
        <v>1947</v>
      </c>
      <c r="N10" s="4" t="inlineStr">
        <is>
          <t>card</t>
        </is>
      </c>
      <c r="O10" s="4" t="inlineStr">
        <is>
          <t>6_昭和戦後(1945-)</t>
        </is>
      </c>
      <c r="P10" s="4" t="inlineStr">
        <is>
          <t>913</t>
        </is>
      </c>
      <c r="Q10" s="4" t="inlineStr">
        <is>
          <t>日本文学／小説・物語</t>
        </is>
      </c>
      <c r="R10" s="4" t="inlineStr">
        <is>
          <t>Fiction</t>
        </is>
      </c>
      <c r="S10" s="4" t="inlineStr">
        <is>
          <t>Historical</t>
        </is>
      </c>
      <c r="T10" s="4" t="inlineStr">
        <is>
          <t>novella</t>
        </is>
      </c>
      <c r="U10" s="4" t="inlineStr">
        <is>
          <t>general</t>
        </is>
      </c>
      <c r="V10" s="4" t="inlineStr">
        <is>
          <t>canonical</t>
        </is>
      </c>
      <c r="W10" s="4" t="inlineStr">
        <is>
          <t>third</t>
        </is>
      </c>
      <c r="X10" s="4" t="inlineStr">
        <is>
          <t>book</t>
        </is>
      </c>
      <c r="Y10" s="4" t="inlineStr">
        <is>
          <t>新字旧仮名</t>
        </is>
      </c>
      <c r="Z10" s="4" t="inlineStr">
        <is>
          <t>complete</t>
        </is>
      </c>
      <c r="AA10" s="4" t="inlineStr">
        <is>
          <t>カード記載は九州書房版1947年。雑誌初出（1941「文體」）説あり。v1 の1944は典拠不明</t>
        </is>
      </c>
      <c r="AB10" s="4" t="n">
        <v>35975</v>
      </c>
      <c r="AC10" s="4" t="n">
        <v>5817</v>
      </c>
      <c r="AD10" s="4" t="n">
        <v>161.7</v>
      </c>
      <c r="AE10" s="4" t="n">
        <v>0.3936</v>
      </c>
      <c r="AF10" s="4" t="n">
        <v>0.0145</v>
      </c>
      <c r="AG10" s="4" t="n">
        <v>27</v>
      </c>
      <c r="AH10" s="4" t="n">
        <v>12.2</v>
      </c>
      <c r="AI10" s="4" t="n">
        <v>29.7</v>
      </c>
      <c r="AJ10" s="4" t="n">
        <v>34.2</v>
      </c>
      <c r="AK10" s="4" t="n">
        <v>0</v>
      </c>
      <c r="AL10" s="4" t="n">
        <v>0</v>
      </c>
      <c r="AM10" s="4" t="n">
        <v>106</v>
      </c>
      <c r="AN10" s="4" t="n">
        <v>0</v>
      </c>
      <c r="AO10" s="4" t="n">
        <v>0</v>
      </c>
      <c r="AP10" s="4" t="n">
        <v>0</v>
      </c>
      <c r="AQ10" s="4" t="inlineStr">
        <is>
          <t>B_過渡的文体</t>
        </is>
      </c>
    </row>
    <row r="11">
      <c r="A11" s="4" t="inlineStr">
        <is>
          <t>JLIT010</t>
        </is>
      </c>
      <c r="B11" s="4" t="inlineStr">
        <is>
          <t>坂口安吾_復員殺人.txt</t>
        </is>
      </c>
      <c r="C11" s="4" t="inlineStr">
        <is>
          <t>坂口安吾</t>
        </is>
      </c>
      <c r="D11" s="4" t="inlineStr">
        <is>
          <t>さかぐち あんご</t>
        </is>
      </c>
      <c r="E11" s="4" t="inlineStr">
        <is>
          <t>M</t>
        </is>
      </c>
      <c r="F11" s="4" t="n">
        <v>1906</v>
      </c>
      <c r="G11" s="4" t="n">
        <v>1955</v>
      </c>
      <c r="H11" s="4" t="inlineStr">
        <is>
          <t>復員殺人事件</t>
        </is>
      </c>
      <c r="I11" s="4" t="inlineStr">
        <is>
          <t>001095</t>
        </is>
      </c>
      <c r="J11" s="4" t="inlineStr">
        <is>
          <t>43163</t>
        </is>
      </c>
      <c r="K11" s="4" t="inlineStr">
        <is>
          <t>https://www.aozora.gr.jp/cards/001095/card43163.html</t>
        </is>
      </c>
      <c r="L11" s="4" t="n">
        <v>1949</v>
      </c>
      <c r="M11" s="4" t="n">
        <v>1950</v>
      </c>
      <c r="N11" s="4" t="inlineStr">
        <is>
          <t>card</t>
        </is>
      </c>
      <c r="O11" s="4" t="inlineStr">
        <is>
          <t>6_昭和戦後(1945-)</t>
        </is>
      </c>
      <c r="P11" s="4" t="inlineStr">
        <is>
          <t>913</t>
        </is>
      </c>
      <c r="Q11" s="4" t="inlineStr">
        <is>
          <t>日本文学／小説・物語</t>
        </is>
      </c>
      <c r="R11" s="4" t="inlineStr">
        <is>
          <t>Fiction</t>
        </is>
      </c>
      <c r="S11" s="4" t="inlineStr">
        <is>
          <t>Detective</t>
        </is>
      </c>
      <c r="T11" s="4" t="inlineStr">
        <is>
          <t>novel</t>
        </is>
      </c>
      <c r="U11" s="4" t="inlineStr">
        <is>
          <t>general</t>
        </is>
      </c>
      <c r="V11" s="4" t="inlineStr">
        <is>
          <t>middlebrow</t>
        </is>
      </c>
      <c r="W11" s="4" t="inlineStr">
        <is>
          <t>first</t>
        </is>
      </c>
      <c r="X11" s="4" t="inlineStr">
        <is>
          <t>magazine</t>
        </is>
      </c>
      <c r="Y11" s="4" t="inlineStr">
        <is>
          <t>新字新仮名</t>
        </is>
      </c>
      <c r="Z11" s="4" t="inlineStr">
        <is>
          <t>incomplete</t>
        </is>
      </c>
      <c r="AA11" s="4" t="inlineStr">
        <is>
          <t>「座談」1949〜1950年、未完</t>
        </is>
      </c>
      <c r="AB11" s="4" t="n">
        <v>60197</v>
      </c>
      <c r="AC11" s="4" t="n">
        <v>6077</v>
      </c>
      <c r="AD11" s="4" t="n">
        <v>100.95</v>
      </c>
      <c r="AE11" s="4" t="n">
        <v>0.2695</v>
      </c>
      <c r="AF11" s="4" t="n">
        <v>0.053</v>
      </c>
      <c r="AG11" s="4" t="n">
        <v>28.7</v>
      </c>
      <c r="AH11" s="4" t="n">
        <v>179.2</v>
      </c>
      <c r="AI11" s="4" t="n">
        <v>45.8</v>
      </c>
      <c r="AJ11" s="4" t="n">
        <v>18.4</v>
      </c>
      <c r="AK11" s="5" t="n">
        <v>1</v>
      </c>
      <c r="AL11" s="4" t="n">
        <v>0</v>
      </c>
      <c r="AM11" s="4" t="n">
        <v>111</v>
      </c>
      <c r="AN11" s="4" t="n">
        <v>0</v>
      </c>
      <c r="AO11" s="4" t="n">
        <v>0</v>
      </c>
      <c r="AP11" s="4" t="n">
        <v>0</v>
      </c>
      <c r="AQ11" s="4" t="inlineStr">
        <is>
          <t>C_口語体</t>
        </is>
      </c>
    </row>
    <row r="12">
      <c r="A12" s="4" t="inlineStr">
        <is>
          <t>JLIT011</t>
        </is>
      </c>
      <c r="B12" s="4" t="inlineStr">
        <is>
          <t>坂口安吾_金銭無情.txt</t>
        </is>
      </c>
      <c r="C12" s="4" t="inlineStr">
        <is>
          <t>坂口安吾</t>
        </is>
      </c>
      <c r="D12" s="4" t="inlineStr">
        <is>
          <t>さかぐち あんご</t>
        </is>
      </c>
      <c r="E12" s="4" t="inlineStr">
        <is>
          <t>M</t>
        </is>
      </c>
      <c r="F12" s="4" t="n">
        <v>1906</v>
      </c>
      <c r="G12" s="4" t="n">
        <v>1955</v>
      </c>
      <c r="H12" s="4" t="inlineStr">
        <is>
          <t>金銭無情</t>
        </is>
      </c>
      <c r="I12" s="4" t="inlineStr">
        <is>
          <t>001095</t>
        </is>
      </c>
      <c r="J12" s="4" t="inlineStr">
        <is>
          <t>42866</t>
        </is>
      </c>
      <c r="K12" s="4" t="inlineStr">
        <is>
          <t>https://www.aozora.gr.jp/cards/001095/card42866.html</t>
        </is>
      </c>
      <c r="L12" s="4" t="n">
        <v>1947</v>
      </c>
      <c r="M12" s="4" t="n">
        <v>1947</v>
      </c>
      <c r="N12" s="4" t="inlineStr">
        <is>
          <t>card</t>
        </is>
      </c>
      <c r="O12" s="4" t="inlineStr">
        <is>
          <t>6_昭和戦後(1945-)</t>
        </is>
      </c>
      <c r="P12" s="4" t="inlineStr">
        <is>
          <t>913</t>
        </is>
      </c>
      <c r="Q12" s="4" t="inlineStr">
        <is>
          <t>日本文学／小説・物語</t>
        </is>
      </c>
      <c r="R12" s="4" t="inlineStr">
        <is>
          <t>Fiction</t>
        </is>
      </c>
      <c r="S12" s="4" t="inlineStr">
        <is>
          <t>Modern</t>
        </is>
      </c>
      <c r="T12" s="4" t="inlineStr">
        <is>
          <t>cycle</t>
        </is>
      </c>
      <c r="U12" s="4" t="inlineStr">
        <is>
          <t>general</t>
        </is>
      </c>
      <c r="V12" s="4" t="inlineStr">
        <is>
          <t>canonical</t>
        </is>
      </c>
      <c r="W12" s="4" t="inlineStr">
        <is>
          <t>third</t>
        </is>
      </c>
      <c r="X12" s="4" t="inlineStr">
        <is>
          <t>magazine</t>
        </is>
      </c>
      <c r="Y12" s="4" t="inlineStr">
        <is>
          <t>新字旧仮名</t>
        </is>
      </c>
      <c r="Z12" s="4" t="inlineStr">
        <is>
          <t>complete</t>
        </is>
      </c>
      <c r="AA12" s="4" t="inlineStr">
        <is>
          <t>「金銭無情」「失恋難」「夜の王様」「王様失脚」4篇の連作。v1 の 'Experimental?' を改める</t>
        </is>
      </c>
      <c r="AB12" s="4" t="n">
        <v>49097</v>
      </c>
      <c r="AC12" s="4" t="n">
        <v>6146</v>
      </c>
      <c r="AD12" s="4" t="n">
        <v>125.18</v>
      </c>
      <c r="AE12" s="4" t="n">
        <v>0.255</v>
      </c>
      <c r="AF12" s="4" t="n">
        <v>0.07049999999999999</v>
      </c>
      <c r="AG12" s="4" t="n">
        <v>29.5</v>
      </c>
      <c r="AH12" s="4" t="n">
        <v>67.40000000000001</v>
      </c>
      <c r="AI12" s="4" t="n">
        <v>51.1</v>
      </c>
      <c r="AJ12" s="4" t="n">
        <v>22.4</v>
      </c>
      <c r="AK12" s="4" t="n">
        <v>0</v>
      </c>
      <c r="AL12" s="4" t="n">
        <v>1</v>
      </c>
      <c r="AM12" s="4" t="n">
        <v>79</v>
      </c>
      <c r="AN12" s="4" t="n">
        <v>0</v>
      </c>
      <c r="AO12" s="4" t="n">
        <v>8</v>
      </c>
      <c r="AP12" s="4" t="n">
        <v>0</v>
      </c>
      <c r="AQ12" s="4" t="inlineStr">
        <is>
          <t>C_口語体</t>
        </is>
      </c>
    </row>
    <row r="13">
      <c r="A13" s="4" t="inlineStr">
        <is>
          <t>JLIT012</t>
        </is>
      </c>
      <c r="B13" s="4" t="inlineStr">
        <is>
          <t>壷井栄_二十四の瞳.txt</t>
        </is>
      </c>
      <c r="C13" s="4" t="inlineStr">
        <is>
          <t>壺井栄</t>
        </is>
      </c>
      <c r="D13" s="4" t="inlineStr">
        <is>
          <t>つぼい さかえ</t>
        </is>
      </c>
      <c r="E13" s="4" t="inlineStr">
        <is>
          <t>F</t>
        </is>
      </c>
      <c r="F13" s="4" t="n">
        <v>1899</v>
      </c>
      <c r="G13" s="4" t="n">
        <v>1967</v>
      </c>
      <c r="H13" s="4" t="inlineStr">
        <is>
          <t>二十四の瞳</t>
        </is>
      </c>
      <c r="I13" s="4" t="inlineStr">
        <is>
          <t>001875</t>
        </is>
      </c>
      <c r="J13" s="4" t="inlineStr">
        <is>
          <t>57856</t>
        </is>
      </c>
      <c r="K13" s="4" t="inlineStr">
        <is>
          <t>https://www.aozora.gr.jp/cards/001875/card57856.html</t>
        </is>
      </c>
      <c r="L13" s="4" t="n">
        <v>1952</v>
      </c>
      <c r="M13" s="4" t="n">
        <v>1952</v>
      </c>
      <c r="N13" s="4" t="inlineStr">
        <is>
          <t>card</t>
        </is>
      </c>
      <c r="O13" s="4" t="inlineStr">
        <is>
          <t>6_昭和戦後(1945-)</t>
        </is>
      </c>
      <c r="P13" s="4" t="inlineStr">
        <is>
          <t>913</t>
        </is>
      </c>
      <c r="Q13" s="4" t="inlineStr">
        <is>
          <t>日本文学／小説・物語</t>
        </is>
      </c>
      <c r="R13" s="4" t="inlineStr">
        <is>
          <t>Fiction</t>
        </is>
      </c>
      <c r="S13" s="4" t="inlineStr">
        <is>
          <t>Modern</t>
        </is>
      </c>
      <c r="T13" s="4" t="inlineStr">
        <is>
          <t>novel</t>
        </is>
      </c>
      <c r="U13" s="4" t="inlineStr">
        <is>
          <t>general</t>
        </is>
      </c>
      <c r="V13" s="4" t="inlineStr">
        <is>
          <t>middlebrow</t>
        </is>
      </c>
      <c r="W13" s="4" t="inlineStr">
        <is>
          <t>third</t>
        </is>
      </c>
      <c r="X13" s="4" t="inlineStr">
        <is>
          <t>magazine</t>
        </is>
      </c>
      <c r="Y13" s="4" t="inlineStr">
        <is>
          <t>新字新仮名</t>
        </is>
      </c>
      <c r="Z13" s="4" t="inlineStr">
        <is>
          <t>complete</t>
        </is>
      </c>
      <c r="AA13" s="4" t="inlineStr">
        <is>
          <t>ファイル名の「壷」は正字「壺」</t>
        </is>
      </c>
      <c r="AB13" s="4" t="n">
        <v>67800</v>
      </c>
      <c r="AC13" s="4" t="n">
        <v>6455</v>
      </c>
      <c r="AD13" s="4" t="n">
        <v>95.20999999999999</v>
      </c>
      <c r="AE13" s="4" t="n">
        <v>0.1826</v>
      </c>
      <c r="AF13" s="4" t="n">
        <v>0.022</v>
      </c>
      <c r="AG13" s="4" t="n">
        <v>19.6</v>
      </c>
      <c r="AH13" s="4" t="n">
        <v>76.8</v>
      </c>
      <c r="AI13" s="4" t="n">
        <v>14</v>
      </c>
      <c r="AJ13" s="4" t="n">
        <v>17.3</v>
      </c>
      <c r="AK13" s="4" t="n">
        <v>0</v>
      </c>
      <c r="AL13" s="4" t="n">
        <v>0</v>
      </c>
      <c r="AM13" s="4" t="n">
        <v>21</v>
      </c>
      <c r="AN13" s="4" t="n">
        <v>0</v>
      </c>
      <c r="AO13" s="4" t="n">
        <v>4</v>
      </c>
      <c r="AP13" s="4" t="n">
        <v>0</v>
      </c>
      <c r="AQ13" s="4" t="inlineStr">
        <is>
          <t>C_口語体</t>
        </is>
      </c>
    </row>
    <row r="14">
      <c r="A14" s="4" t="inlineStr">
        <is>
          <t>JLIT013</t>
        </is>
      </c>
      <c r="B14" s="4" t="inlineStr">
        <is>
          <t>壷井栄_妻の座.txt</t>
        </is>
      </c>
      <c r="C14" s="4" t="inlineStr">
        <is>
          <t>壺井栄</t>
        </is>
      </c>
      <c r="D14" s="4" t="inlineStr">
        <is>
          <t>つぼい さかえ</t>
        </is>
      </c>
      <c r="E14" s="4" t="inlineStr">
        <is>
          <t>F</t>
        </is>
      </c>
      <c r="F14" s="4" t="n">
        <v>1899</v>
      </c>
      <c r="G14" s="4" t="n">
        <v>1967</v>
      </c>
      <c r="H14" s="4" t="inlineStr">
        <is>
          <t>妻の座</t>
        </is>
      </c>
      <c r="I14" s="4" t="inlineStr">
        <is>
          <t>001875</t>
        </is>
      </c>
      <c r="J14" s="4" t="inlineStr">
        <is>
          <t>60071</t>
        </is>
      </c>
      <c r="K14" s="4" t="inlineStr">
        <is>
          <t>https://www.aozora.gr.jp/cards/001875/card60071.html</t>
        </is>
      </c>
      <c r="L14" s="4" t="n">
        <v>1947</v>
      </c>
      <c r="M14" s="4" t="n">
        <v>1949</v>
      </c>
      <c r="N14" s="4" t="inlineStr">
        <is>
          <t>card</t>
        </is>
      </c>
      <c r="O14" s="4" t="inlineStr">
        <is>
          <t>6_昭和戦後(1945-)</t>
        </is>
      </c>
      <c r="P14" s="4" t="inlineStr">
        <is>
          <t>913</t>
        </is>
      </c>
      <c r="Q14" s="4" t="inlineStr">
        <is>
          <t>日本文学／小説・物語</t>
        </is>
      </c>
      <c r="R14" s="4" t="inlineStr">
        <is>
          <t>Fiction</t>
        </is>
      </c>
      <c r="S14" s="4" t="inlineStr">
        <is>
          <t>Modern</t>
        </is>
      </c>
      <c r="T14" s="4" t="inlineStr">
        <is>
          <t>novel</t>
        </is>
      </c>
      <c r="U14" s="4" t="inlineStr">
        <is>
          <t>general</t>
        </is>
      </c>
      <c r="V14" s="4" t="inlineStr">
        <is>
          <t>middlebrow</t>
        </is>
      </c>
      <c r="W14" s="4" t="inlineStr">
        <is>
          <t>third</t>
        </is>
      </c>
      <c r="X14" s="4" t="inlineStr">
        <is>
          <t>magazine</t>
        </is>
      </c>
      <c r="Y14" s="4" t="inlineStr">
        <is>
          <t>新字新仮名</t>
        </is>
      </c>
      <c r="Z14" s="4" t="inlineStr">
        <is>
          <t>complete</t>
        </is>
      </c>
      <c r="AA14" s="4" t="inlineStr">
        <is>
          <t>「新日本文学」1947年8月、1949年2〜4月・7月</t>
        </is>
      </c>
      <c r="AB14" s="4" t="n">
        <v>51377</v>
      </c>
      <c r="AC14" s="4" t="n">
        <v>5523</v>
      </c>
      <c r="AD14" s="4" t="n">
        <v>107.5</v>
      </c>
      <c r="AE14" s="4" t="n">
        <v>0.2232</v>
      </c>
      <c r="AF14" s="4" t="n">
        <v>0.024</v>
      </c>
      <c r="AG14" s="4" t="n">
        <v>21.2</v>
      </c>
      <c r="AH14" s="4" t="n">
        <v>69.09999999999999</v>
      </c>
      <c r="AI14" s="4" t="n">
        <v>39.9</v>
      </c>
      <c r="AJ14" s="4" t="n">
        <v>11.1</v>
      </c>
      <c r="AK14" s="4" t="n">
        <v>0</v>
      </c>
      <c r="AL14" s="4" t="n">
        <v>0</v>
      </c>
      <c r="AM14" s="4" t="n">
        <v>51</v>
      </c>
      <c r="AN14" s="4" t="n">
        <v>0</v>
      </c>
      <c r="AO14" s="4" t="n">
        <v>2</v>
      </c>
      <c r="AP14" s="4" t="n">
        <v>0</v>
      </c>
      <c r="AQ14" s="4" t="inlineStr">
        <is>
          <t>C_口語体</t>
        </is>
      </c>
    </row>
    <row r="15">
      <c r="A15" s="4" t="inlineStr">
        <is>
          <t>JLIT014</t>
        </is>
      </c>
      <c r="B15" s="4" t="inlineStr">
        <is>
          <t>多喜二_不在地主.txt</t>
        </is>
      </c>
      <c r="C15" s="4" t="inlineStr">
        <is>
          <t>小林多喜二</t>
        </is>
      </c>
      <c r="D15" s="4" t="inlineStr">
        <is>
          <t>こばやし たきじ</t>
        </is>
      </c>
      <c r="E15" s="4" t="inlineStr">
        <is>
          <t>M</t>
        </is>
      </c>
      <c r="F15" s="4" t="n">
        <v>1903</v>
      </c>
      <c r="G15" s="4" t="n">
        <v>1933</v>
      </c>
      <c r="H15" s="4" t="inlineStr">
        <is>
          <t>不在地主</t>
        </is>
      </c>
      <c r="I15" s="4" t="inlineStr">
        <is>
          <t>000156</t>
        </is>
      </c>
      <c r="J15" s="4" t="inlineStr">
        <is>
          <t>49181</t>
        </is>
      </c>
      <c r="K15" s="4" t="inlineStr">
        <is>
          <t>https://www.aozora.gr.jp/cards/000156/card49181.html</t>
        </is>
      </c>
      <c r="L15" s="4" t="n">
        <v>1929</v>
      </c>
      <c r="M15" s="4" t="n">
        <v>1929</v>
      </c>
      <c r="N15" s="4" t="inlineStr">
        <is>
          <t>card</t>
        </is>
      </c>
      <c r="O15" s="4" t="inlineStr">
        <is>
          <t>5_昭和戦前(1926-1944)</t>
        </is>
      </c>
      <c r="P15" s="4" t="inlineStr">
        <is>
          <t>913</t>
        </is>
      </c>
      <c r="Q15" s="4" t="inlineStr">
        <is>
          <t>日本文学／小説・物語</t>
        </is>
      </c>
      <c r="R15" s="4" t="inlineStr">
        <is>
          <t>Fiction</t>
        </is>
      </c>
      <c r="S15" s="4" t="inlineStr">
        <is>
          <t>Proletarian</t>
        </is>
      </c>
      <c r="T15" s="4" t="inlineStr">
        <is>
          <t>novella</t>
        </is>
      </c>
      <c r="U15" s="4" t="inlineStr">
        <is>
          <t>general</t>
        </is>
      </c>
      <c r="V15" s="4" t="inlineStr">
        <is>
          <t>canonical</t>
        </is>
      </c>
      <c r="W15" s="4" t="inlineStr">
        <is>
          <t>third</t>
        </is>
      </c>
      <c r="X15" s="4" t="inlineStr">
        <is>
          <t>magazine</t>
        </is>
      </c>
      <c r="Y15" s="4" t="inlineStr">
        <is>
          <t>新字新仮名</t>
        </is>
      </c>
      <c r="Z15" s="4" t="inlineStr">
        <is>
          <t>complete</t>
        </is>
      </c>
      <c r="AA15" s="4" t="inlineStr">
        <is>
          <t>「中央公論」1929年11月号ほか。外字欠落27件</t>
        </is>
      </c>
      <c r="AB15" s="4" t="n">
        <v>44523</v>
      </c>
      <c r="AC15" s="4" t="n">
        <v>5180</v>
      </c>
      <c r="AD15" s="4" t="n">
        <v>116.34</v>
      </c>
      <c r="AE15" s="4" t="n">
        <v>0.2934</v>
      </c>
      <c r="AF15" s="4" t="n">
        <v>0.037</v>
      </c>
      <c r="AG15" s="4" t="n">
        <v>22.7</v>
      </c>
      <c r="AH15" s="4" t="n">
        <v>29.9</v>
      </c>
      <c r="AI15" s="4" t="n">
        <v>28.1</v>
      </c>
      <c r="AJ15" s="4" t="n">
        <v>1.3</v>
      </c>
      <c r="AK15" s="5" t="n">
        <v>27</v>
      </c>
      <c r="AL15" s="4" t="n">
        <v>0</v>
      </c>
      <c r="AM15" s="4" t="n">
        <v>115</v>
      </c>
      <c r="AN15" s="4" t="n">
        <v>1</v>
      </c>
      <c r="AO15" s="4" t="n">
        <v>56</v>
      </c>
      <c r="AP15" s="4" t="n">
        <v>0</v>
      </c>
      <c r="AQ15" s="4" t="inlineStr">
        <is>
          <t>C_口語体</t>
        </is>
      </c>
    </row>
    <row r="16">
      <c r="A16" s="4" t="inlineStr">
        <is>
          <t>JLIT015</t>
        </is>
      </c>
      <c r="B16" s="4" t="inlineStr">
        <is>
          <t>多喜二_党生活者.txt</t>
        </is>
      </c>
      <c r="C16" s="4" t="inlineStr">
        <is>
          <t>小林多喜二</t>
        </is>
      </c>
      <c r="D16" s="4" t="inlineStr">
        <is>
          <t>こばやし たきじ</t>
        </is>
      </c>
      <c r="E16" s="4" t="inlineStr">
        <is>
          <t>M</t>
        </is>
      </c>
      <c r="F16" s="4" t="n">
        <v>1903</v>
      </c>
      <c r="G16" s="4" t="n">
        <v>1933</v>
      </c>
      <c r="H16" s="4" t="inlineStr">
        <is>
          <t>党生活者</t>
        </is>
      </c>
      <c r="I16" s="4" t="inlineStr">
        <is>
          <t>000156</t>
        </is>
      </c>
      <c r="J16" s="4" t="inlineStr">
        <is>
          <t>833</t>
        </is>
      </c>
      <c r="K16" s="4" t="inlineStr">
        <is>
          <t>https://www.aozora.gr.jp/cards/000156/card833.html</t>
        </is>
      </c>
      <c r="L16" s="5" t="n">
        <v>1933</v>
      </c>
      <c r="M16" s="4" t="n">
        <v>1933</v>
      </c>
      <c r="N16" s="5" t="inlineStr">
        <is>
          <t>editor</t>
        </is>
      </c>
      <c r="O16" s="4" t="inlineStr">
        <is>
          <t>5_昭和戦前(1926-1944)</t>
        </is>
      </c>
      <c r="P16" s="4" t="inlineStr">
        <is>
          <t>913</t>
        </is>
      </c>
      <c r="Q16" s="4" t="inlineStr">
        <is>
          <t>日本文学／小説・物語</t>
        </is>
      </c>
      <c r="R16" s="4" t="inlineStr">
        <is>
          <t>Fiction</t>
        </is>
      </c>
      <c r="S16" s="4" t="inlineStr">
        <is>
          <t>Proletarian</t>
        </is>
      </c>
      <c r="T16" s="4" t="inlineStr">
        <is>
          <t>novella</t>
        </is>
      </c>
      <c r="U16" s="4" t="inlineStr">
        <is>
          <t>general</t>
        </is>
      </c>
      <c r="V16" s="4" t="inlineStr">
        <is>
          <t>canonical</t>
        </is>
      </c>
      <c r="W16" s="4" t="inlineStr">
        <is>
          <t>first</t>
        </is>
      </c>
      <c r="X16" s="4" t="inlineStr">
        <is>
          <t>magazine</t>
        </is>
      </c>
      <c r="Y16" s="4" t="inlineStr">
        <is>
          <t>新字新仮名</t>
        </is>
      </c>
      <c r="Z16" s="4" t="inlineStr">
        <is>
          <t>complete</t>
        </is>
      </c>
      <c r="AA16" s="4" t="inlineStr">
        <is>
          <t>初出は「転換時代」の題で『中央公論』1933年4・5月。カードに初出欄なし</t>
        </is>
      </c>
      <c r="AB16" s="4" t="n">
        <v>42073</v>
      </c>
      <c r="AC16" s="4" t="n">
        <v>4181</v>
      </c>
      <c r="AD16" s="4" t="n">
        <v>99.37</v>
      </c>
      <c r="AE16" s="4" t="n">
        <v>0.2878</v>
      </c>
      <c r="AF16" s="4" t="n">
        <v>0.0326</v>
      </c>
      <c r="AG16" s="4" t="n">
        <v>20.9</v>
      </c>
      <c r="AH16" s="4" t="n">
        <v>35.9</v>
      </c>
      <c r="AI16" s="4" t="n">
        <v>144.7</v>
      </c>
      <c r="AJ16" s="4" t="n">
        <v>26.1</v>
      </c>
      <c r="AK16" s="4" t="n">
        <v>0</v>
      </c>
      <c r="AL16" s="4" t="n">
        <v>0</v>
      </c>
      <c r="AM16" s="4" t="n">
        <v>113</v>
      </c>
      <c r="AN16" s="4" t="n">
        <v>0</v>
      </c>
      <c r="AO16" s="4" t="n">
        <v>47</v>
      </c>
      <c r="AP16" s="4" t="n">
        <v>0</v>
      </c>
      <c r="AQ16" s="4" t="inlineStr">
        <is>
          <t>C_口語体</t>
        </is>
      </c>
    </row>
    <row r="17">
      <c r="A17" s="4" t="inlineStr">
        <is>
          <t>JLIT016</t>
        </is>
      </c>
      <c r="B17" s="4" t="inlineStr">
        <is>
          <t>多喜二_工場細胞.txt</t>
        </is>
      </c>
      <c r="C17" s="4" t="inlineStr">
        <is>
          <t>小林多喜二</t>
        </is>
      </c>
      <c r="D17" s="4" t="inlineStr">
        <is>
          <t>こばやし たきじ</t>
        </is>
      </c>
      <c r="E17" s="4" t="inlineStr">
        <is>
          <t>M</t>
        </is>
      </c>
      <c r="F17" s="4" t="n">
        <v>1903</v>
      </c>
      <c r="G17" s="4" t="n">
        <v>1933</v>
      </c>
      <c r="H17" s="4" t="inlineStr">
        <is>
          <t>工場細胞</t>
        </is>
      </c>
      <c r="I17" s="4" t="inlineStr">
        <is>
          <t>000156</t>
        </is>
      </c>
      <c r="J17" s="4" t="inlineStr">
        <is>
          <t>1466</t>
        </is>
      </c>
      <c r="K17" s="4" t="inlineStr">
        <is>
          <t>https://www.aozora.gr.jp/cards/000156/card1466.html</t>
        </is>
      </c>
      <c r="L17" s="4" t="n">
        <v>1930</v>
      </c>
      <c r="M17" s="4" t="n">
        <v>1930</v>
      </c>
      <c r="N17" s="4" t="inlineStr">
        <is>
          <t>card</t>
        </is>
      </c>
      <c r="O17" s="4" t="inlineStr">
        <is>
          <t>5_昭和戦前(1926-1944)</t>
        </is>
      </c>
      <c r="P17" s="4" t="inlineStr">
        <is>
          <t>913</t>
        </is>
      </c>
      <c r="Q17" s="4" t="inlineStr">
        <is>
          <t>日本文学／小説・物語</t>
        </is>
      </c>
      <c r="R17" s="4" t="inlineStr">
        <is>
          <t>Fiction</t>
        </is>
      </c>
      <c r="S17" s="4" t="inlineStr">
        <is>
          <t>Proletarian</t>
        </is>
      </c>
      <c r="T17" s="4" t="inlineStr">
        <is>
          <t>novella</t>
        </is>
      </c>
      <c r="U17" s="4" t="inlineStr">
        <is>
          <t>general</t>
        </is>
      </c>
      <c r="V17" s="4" t="inlineStr">
        <is>
          <t>canonical</t>
        </is>
      </c>
      <c r="W17" s="4" t="inlineStr">
        <is>
          <t>third</t>
        </is>
      </c>
      <c r="X17" s="4" t="inlineStr">
        <is>
          <t>magazine</t>
        </is>
      </c>
      <c r="Y17" s="4" t="inlineStr">
        <is>
          <t>新字新仮名</t>
        </is>
      </c>
      <c r="Z17" s="4" t="inlineStr">
        <is>
          <t>complete</t>
        </is>
      </c>
      <c r="AA17" s="4" t="inlineStr">
        <is>
          <t>「改造」1930年4〜6月号。仮名踊り字23件</t>
        </is>
      </c>
      <c r="AB17" s="4" t="n">
        <v>40424</v>
      </c>
      <c r="AC17" s="4" t="n">
        <v>4783</v>
      </c>
      <c r="AD17" s="4" t="n">
        <v>118.32</v>
      </c>
      <c r="AE17" s="4" t="n">
        <v>0.2863</v>
      </c>
      <c r="AF17" s="4" t="n">
        <v>0.0514</v>
      </c>
      <c r="AG17" s="4" t="n">
        <v>16.1</v>
      </c>
      <c r="AH17" s="4" t="n">
        <v>51</v>
      </c>
      <c r="AI17" s="4" t="n">
        <v>32.2</v>
      </c>
      <c r="AJ17" s="4" t="n">
        <v>50</v>
      </c>
      <c r="AK17" s="5" t="n">
        <v>1</v>
      </c>
      <c r="AL17" s="4" t="n">
        <v>23</v>
      </c>
      <c r="AM17" s="4" t="n">
        <v>101</v>
      </c>
      <c r="AN17" s="4" t="n">
        <v>0</v>
      </c>
      <c r="AO17" s="4" t="n">
        <v>174</v>
      </c>
      <c r="AP17" s="4" t="n">
        <v>13</v>
      </c>
      <c r="AQ17" s="4" t="inlineStr">
        <is>
          <t>C_口語体</t>
        </is>
      </c>
    </row>
    <row r="18">
      <c r="A18" s="4" t="inlineStr">
        <is>
          <t>JLIT017</t>
        </is>
      </c>
      <c r="B18" s="4" t="inlineStr">
        <is>
          <t>多喜二_蟹工船.txt</t>
        </is>
      </c>
      <c r="C18" s="4" t="inlineStr">
        <is>
          <t>小林多喜二</t>
        </is>
      </c>
      <c r="D18" s="4" t="inlineStr">
        <is>
          <t>こばやし たきじ</t>
        </is>
      </c>
      <c r="E18" s="4" t="inlineStr">
        <is>
          <t>M</t>
        </is>
      </c>
      <c r="F18" s="4" t="n">
        <v>1903</v>
      </c>
      <c r="G18" s="4" t="n">
        <v>1933</v>
      </c>
      <c r="H18" s="4" t="inlineStr">
        <is>
          <t>蟹工船</t>
        </is>
      </c>
      <c r="I18" s="4" t="inlineStr">
        <is>
          <t>000156</t>
        </is>
      </c>
      <c r="J18" s="4" t="inlineStr">
        <is>
          <t>1465</t>
        </is>
      </c>
      <c r="K18" s="4" t="inlineStr">
        <is>
          <t>https://www.aozora.gr.jp/cards/000156/card1465.html</t>
        </is>
      </c>
      <c r="L18" s="4" t="n">
        <v>1929</v>
      </c>
      <c r="M18" s="4" t="n">
        <v>1929</v>
      </c>
      <c r="N18" s="4" t="inlineStr">
        <is>
          <t>card</t>
        </is>
      </c>
      <c r="O18" s="4" t="inlineStr">
        <is>
          <t>5_昭和戦前(1926-1944)</t>
        </is>
      </c>
      <c r="P18" s="4" t="inlineStr">
        <is>
          <t>913</t>
        </is>
      </c>
      <c r="Q18" s="4" t="inlineStr">
        <is>
          <t>日本文学／小説・物語</t>
        </is>
      </c>
      <c r="R18" s="4" t="inlineStr">
        <is>
          <t>Fiction</t>
        </is>
      </c>
      <c r="S18" s="4" t="inlineStr">
        <is>
          <t>Proletarian</t>
        </is>
      </c>
      <c r="T18" s="4" t="inlineStr">
        <is>
          <t>novella</t>
        </is>
      </c>
      <c r="U18" s="4" t="inlineStr">
        <is>
          <t>general</t>
        </is>
      </c>
      <c r="V18" s="4" t="inlineStr">
        <is>
          <t>canonical</t>
        </is>
      </c>
      <c r="W18" s="4" t="inlineStr">
        <is>
          <t>third</t>
        </is>
      </c>
      <c r="X18" s="4" t="inlineStr">
        <is>
          <t>magazine</t>
        </is>
      </c>
      <c r="Y18" s="4" t="inlineStr">
        <is>
          <t>新字新仮名</t>
        </is>
      </c>
      <c r="Z18" s="4" t="inlineStr">
        <is>
          <t>complete</t>
        </is>
      </c>
      <c r="AA18" s="4" t="inlineStr">
        <is>
          <t>「戦旗」1929年5・6月号</t>
        </is>
      </c>
      <c r="AB18" s="4" t="n">
        <v>40323</v>
      </c>
      <c r="AC18" s="4" t="n">
        <v>4774</v>
      </c>
      <c r="AD18" s="4" t="n">
        <v>118.39</v>
      </c>
      <c r="AE18" s="4" t="n">
        <v>0.2721</v>
      </c>
      <c r="AF18" s="4" t="n">
        <v>0.0544</v>
      </c>
      <c r="AG18" s="4" t="n">
        <v>29.8</v>
      </c>
      <c r="AH18" s="4" t="n">
        <v>42.4</v>
      </c>
      <c r="AI18" s="4" t="n">
        <v>31.2</v>
      </c>
      <c r="AJ18" s="4" t="n">
        <v>6.7</v>
      </c>
      <c r="AK18" s="4" t="n">
        <v>0</v>
      </c>
      <c r="AL18" s="4" t="n">
        <v>0</v>
      </c>
      <c r="AM18" s="4" t="n">
        <v>87</v>
      </c>
      <c r="AN18" s="4" t="n">
        <v>0</v>
      </c>
      <c r="AO18" s="4" t="n">
        <v>20</v>
      </c>
      <c r="AP18" s="4" t="n">
        <v>11</v>
      </c>
      <c r="AQ18" s="4" t="inlineStr">
        <is>
          <t>C_口語体</t>
        </is>
      </c>
    </row>
    <row r="19">
      <c r="A19" s="4" t="inlineStr">
        <is>
          <t>JLIT018</t>
        </is>
      </c>
      <c r="B19" s="4" t="inlineStr">
        <is>
          <t>夢野久作_DOGRA.txt</t>
        </is>
      </c>
      <c r="C19" s="4" t="inlineStr">
        <is>
          <t>夢野久作</t>
        </is>
      </c>
      <c r="D19" s="4" t="inlineStr">
        <is>
          <t>ゆめの きゅうさく</t>
        </is>
      </c>
      <c r="E19" s="4" t="inlineStr">
        <is>
          <t>M</t>
        </is>
      </c>
      <c r="F19" s="4" t="n">
        <v>1889</v>
      </c>
      <c r="G19" s="4" t="n">
        <v>1936</v>
      </c>
      <c r="H19" s="4" t="inlineStr">
        <is>
          <t>ドグラ・マグラ</t>
        </is>
      </c>
      <c r="I19" s="4" t="inlineStr">
        <is>
          <t>000096</t>
        </is>
      </c>
      <c r="J19" s="4" t="inlineStr">
        <is>
          <t>2093</t>
        </is>
      </c>
      <c r="K19" s="4" t="inlineStr">
        <is>
          <t>https://www.aozora.gr.jp/cards/000096/card2093.html</t>
        </is>
      </c>
      <c r="L19" s="5" t="n">
        <v>1935</v>
      </c>
      <c r="M19" s="4" t="n">
        <v>1935</v>
      </c>
      <c r="N19" s="5" t="inlineStr">
        <is>
          <t>editor</t>
        </is>
      </c>
      <c r="O19" s="4" t="inlineStr">
        <is>
          <t>5_昭和戦前(1926-1944)</t>
        </is>
      </c>
      <c r="P19" s="4" t="inlineStr">
        <is>
          <t>913</t>
        </is>
      </c>
      <c r="Q19" s="4" t="inlineStr">
        <is>
          <t>日本文学／小説・物語</t>
        </is>
      </c>
      <c r="R19" s="4" t="inlineStr">
        <is>
          <t>Fiction</t>
        </is>
      </c>
      <c r="S19" s="4" t="inlineStr">
        <is>
          <t>Detective</t>
        </is>
      </c>
      <c r="T19" s="4" t="inlineStr">
        <is>
          <t>novel</t>
        </is>
      </c>
      <c r="U19" s="4" t="inlineStr">
        <is>
          <t>general</t>
        </is>
      </c>
      <c r="V19" s="4" t="inlineStr">
        <is>
          <t>middlebrow</t>
        </is>
      </c>
      <c r="W19" s="4" t="inlineStr">
        <is>
          <t>first</t>
        </is>
      </c>
      <c r="X19" s="4" t="inlineStr">
        <is>
          <t>book</t>
        </is>
      </c>
      <c r="Y19" s="4" t="inlineStr">
        <is>
          <t>新字新仮名</t>
        </is>
      </c>
      <c r="Z19" s="4" t="inlineStr">
        <is>
          <t>complete</t>
        </is>
      </c>
      <c r="AA19" s="4" t="inlineStr">
        <is>
          <t>1935年1月 松柏館書店刊（自費出版）。カードに初出欄なし</t>
        </is>
      </c>
      <c r="AB19" s="4" t="n">
        <v>266811</v>
      </c>
      <c r="AC19" s="4" t="n">
        <v>17246</v>
      </c>
      <c r="AD19" s="4" t="n">
        <v>64.64</v>
      </c>
      <c r="AE19" s="4" t="n">
        <v>0.3454</v>
      </c>
      <c r="AF19" s="4" t="n">
        <v>0.045</v>
      </c>
      <c r="AG19" s="4" t="n">
        <v>41.9</v>
      </c>
      <c r="AH19" s="4" t="n">
        <v>85.40000000000001</v>
      </c>
      <c r="AI19" s="4" t="n">
        <v>61.8</v>
      </c>
      <c r="AJ19" s="4" t="n">
        <v>3.6</v>
      </c>
      <c r="AK19" s="5" t="n">
        <v>2</v>
      </c>
      <c r="AL19" s="4" t="n">
        <v>0</v>
      </c>
      <c r="AM19" s="4" t="n">
        <v>634</v>
      </c>
      <c r="AN19" s="4" t="n">
        <v>0</v>
      </c>
      <c r="AO19" s="4" t="n">
        <v>328</v>
      </c>
      <c r="AP19" s="4" t="n">
        <v>2</v>
      </c>
      <c r="AQ19" s="4" t="inlineStr">
        <is>
          <t>B_過渡的文体</t>
        </is>
      </c>
    </row>
    <row r="20">
      <c r="A20" s="4" t="inlineStr">
        <is>
          <t>JLIT019</t>
        </is>
      </c>
      <c r="B20" s="4" t="inlineStr">
        <is>
          <t>夢野久作_少女地獄.txt</t>
        </is>
      </c>
      <c r="C20" s="4" t="inlineStr">
        <is>
          <t>夢野久作</t>
        </is>
      </c>
      <c r="D20" s="4" t="inlineStr">
        <is>
          <t>ゆめの きゅうさく</t>
        </is>
      </c>
      <c r="E20" s="4" t="inlineStr">
        <is>
          <t>M</t>
        </is>
      </c>
      <c r="F20" s="4" t="n">
        <v>1889</v>
      </c>
      <c r="G20" s="4" t="n">
        <v>1936</v>
      </c>
      <c r="H20" s="4" t="inlineStr">
        <is>
          <t>少女地獄</t>
        </is>
      </c>
      <c r="I20" s="4" t="inlineStr">
        <is>
          <t>000096</t>
        </is>
      </c>
      <c r="J20" s="4" t="inlineStr">
        <is>
          <t>935</t>
        </is>
      </c>
      <c r="K20" s="4" t="inlineStr">
        <is>
          <t>https://www.aozora.gr.jp/cards/000096/card935.html</t>
        </is>
      </c>
      <c r="L20" s="4" t="n">
        <v>1936</v>
      </c>
      <c r="M20" s="4" t="n">
        <v>1936</v>
      </c>
      <c r="N20" s="4" t="inlineStr">
        <is>
          <t>card</t>
        </is>
      </c>
      <c r="O20" s="4" t="inlineStr">
        <is>
          <t>5_昭和戦前(1926-1944)</t>
        </is>
      </c>
      <c r="P20" s="4" t="inlineStr">
        <is>
          <t>913</t>
        </is>
      </c>
      <c r="Q20" s="4" t="inlineStr">
        <is>
          <t>日本文学／小説・物語</t>
        </is>
      </c>
      <c r="R20" s="4" t="inlineStr">
        <is>
          <t>Fiction</t>
        </is>
      </c>
      <c r="S20" s="4" t="inlineStr">
        <is>
          <t>Detective</t>
        </is>
      </c>
      <c r="T20" s="4" t="inlineStr">
        <is>
          <t>collection</t>
        </is>
      </c>
      <c r="U20" s="4" t="inlineStr">
        <is>
          <t>general</t>
        </is>
      </c>
      <c r="V20" s="4" t="inlineStr">
        <is>
          <t>middlebrow</t>
        </is>
      </c>
      <c r="W20" s="4" t="inlineStr">
        <is>
          <t>mixed</t>
        </is>
      </c>
      <c r="X20" s="4" t="inlineStr">
        <is>
          <t>book</t>
        </is>
      </c>
      <c r="Y20" s="4" t="inlineStr">
        <is>
          <t>新字新仮名</t>
        </is>
      </c>
      <c r="Z20" s="4" t="inlineStr">
        <is>
          <t>complete</t>
        </is>
      </c>
      <c r="AA20" s="4" t="inlineStr">
        <is>
          <t>「少女地獄」黒白書房1936年3月。3篇の作品集</t>
        </is>
      </c>
      <c r="AB20" s="4" t="n">
        <v>64806</v>
      </c>
      <c r="AC20" s="4" t="n">
        <v>7109</v>
      </c>
      <c r="AD20" s="4" t="n">
        <v>109.7</v>
      </c>
      <c r="AE20" s="4" t="n">
        <v>0.3192</v>
      </c>
      <c r="AF20" s="4" t="n">
        <v>0.0492</v>
      </c>
      <c r="AG20" s="4" t="n">
        <v>34.9</v>
      </c>
      <c r="AH20" s="4" t="n">
        <v>156.8</v>
      </c>
      <c r="AI20" s="4" t="n">
        <v>108.3</v>
      </c>
      <c r="AJ20" s="4" t="n">
        <v>39.2</v>
      </c>
      <c r="AK20" s="4" t="n">
        <v>0</v>
      </c>
      <c r="AL20" s="4" t="n">
        <v>0</v>
      </c>
      <c r="AM20" s="4" t="n">
        <v>80</v>
      </c>
      <c r="AN20" s="4" t="n">
        <v>0</v>
      </c>
      <c r="AO20" s="4" t="n">
        <v>24</v>
      </c>
      <c r="AP20" s="4" t="n">
        <v>0</v>
      </c>
      <c r="AQ20" s="4" t="inlineStr">
        <is>
          <t>C_口語体</t>
        </is>
      </c>
    </row>
    <row r="21">
      <c r="A21" s="4" t="inlineStr">
        <is>
          <t>JLIT020</t>
        </is>
      </c>
      <c r="B21" s="4" t="inlineStr">
        <is>
          <t>夢野久作_押絵の奇蹟.txt</t>
        </is>
      </c>
      <c r="C21" s="4" t="inlineStr">
        <is>
          <t>夢野久作</t>
        </is>
      </c>
      <c r="D21" s="4" t="inlineStr">
        <is>
          <t>ゆめの きゅうさく</t>
        </is>
      </c>
      <c r="E21" s="4" t="inlineStr">
        <is>
          <t>M</t>
        </is>
      </c>
      <c r="F21" s="4" t="n">
        <v>1889</v>
      </c>
      <c r="G21" s="4" t="n">
        <v>1936</v>
      </c>
      <c r="H21" s="4" t="inlineStr">
        <is>
          <t>押絵の奇蹟</t>
        </is>
      </c>
      <c r="I21" s="4" t="inlineStr">
        <is>
          <t>000096</t>
        </is>
      </c>
      <c r="J21" s="4" t="inlineStr">
        <is>
          <t>930</t>
        </is>
      </c>
      <c r="K21" s="4" t="inlineStr">
        <is>
          <t>https://www.aozora.gr.jp/cards/000096/card930.html</t>
        </is>
      </c>
      <c r="L21" s="4" t="n">
        <v>1929</v>
      </c>
      <c r="M21" s="4" t="n">
        <v>1929</v>
      </c>
      <c r="N21" s="4" t="inlineStr">
        <is>
          <t>card</t>
        </is>
      </c>
      <c r="O21" s="4" t="inlineStr">
        <is>
          <t>5_昭和戦前(1926-1944)</t>
        </is>
      </c>
      <c r="P21" s="4" t="inlineStr">
        <is>
          <t>913</t>
        </is>
      </c>
      <c r="Q21" s="4" t="inlineStr">
        <is>
          <t>日本文学／小説・物語</t>
        </is>
      </c>
      <c r="R21" s="4" t="inlineStr">
        <is>
          <t>Fiction</t>
        </is>
      </c>
      <c r="S21" s="4" t="inlineStr">
        <is>
          <t>Detective</t>
        </is>
      </c>
      <c r="T21" s="4" t="inlineStr">
        <is>
          <t>novella</t>
        </is>
      </c>
      <c r="U21" s="4" t="inlineStr">
        <is>
          <t>general</t>
        </is>
      </c>
      <c r="V21" s="4" t="inlineStr">
        <is>
          <t>middlebrow</t>
        </is>
      </c>
      <c r="W21" s="4" t="inlineStr">
        <is>
          <t>first</t>
        </is>
      </c>
      <c r="X21" s="4" t="inlineStr">
        <is>
          <t>magazine</t>
        </is>
      </c>
      <c r="Y21" s="4" t="inlineStr">
        <is>
          <t>新字新仮名</t>
        </is>
      </c>
      <c r="Z21" s="4" t="inlineStr">
        <is>
          <t>complete</t>
        </is>
      </c>
      <c r="AA21" s="4" t="inlineStr">
        <is>
          <t>「新青年」1929年1月。書簡体</t>
        </is>
      </c>
      <c r="AB21" s="4" t="n">
        <v>36269</v>
      </c>
      <c r="AC21" s="4" t="n">
        <v>4365</v>
      </c>
      <c r="AD21" s="4" t="n">
        <v>120.35</v>
      </c>
      <c r="AE21" s="4" t="n">
        <v>0.2746</v>
      </c>
      <c r="AF21" s="4" t="n">
        <v>0.0227</v>
      </c>
      <c r="AG21" s="4" t="n">
        <v>86.59999999999999</v>
      </c>
      <c r="AH21" s="4" t="n">
        <v>175.6</v>
      </c>
      <c r="AI21" s="4" t="n">
        <v>129</v>
      </c>
      <c r="AJ21" s="4" t="n">
        <v>0.3</v>
      </c>
      <c r="AK21" s="4" t="n">
        <v>0</v>
      </c>
      <c r="AL21" s="4" t="n">
        <v>0</v>
      </c>
      <c r="AM21" s="4" t="n">
        <v>63</v>
      </c>
      <c r="AN21" s="4" t="n">
        <v>0</v>
      </c>
      <c r="AO21" s="4" t="n">
        <v>0</v>
      </c>
      <c r="AP21" s="4" t="n">
        <v>0</v>
      </c>
      <c r="AQ21" s="4" t="inlineStr">
        <is>
          <t>B_過渡的文体</t>
        </is>
      </c>
    </row>
    <row r="22">
      <c r="A22" s="4" t="inlineStr">
        <is>
          <t>JLIT021</t>
        </is>
      </c>
      <c r="B22" s="4" t="inlineStr">
        <is>
          <t>太宰_人間失格.txt</t>
        </is>
      </c>
      <c r="C22" s="4" t="inlineStr">
        <is>
          <t>太宰治</t>
        </is>
      </c>
      <c r="D22" s="4" t="inlineStr">
        <is>
          <t>だざい おさむ</t>
        </is>
      </c>
      <c r="E22" s="4" t="inlineStr">
        <is>
          <t>M</t>
        </is>
      </c>
      <c r="F22" s="4" t="n">
        <v>1909</v>
      </c>
      <c r="G22" s="4" t="n">
        <v>1948</v>
      </c>
      <c r="H22" s="4" t="inlineStr">
        <is>
          <t>人間失格</t>
        </is>
      </c>
      <c r="I22" s="4" t="inlineStr">
        <is>
          <t>000035</t>
        </is>
      </c>
      <c r="J22" s="4" t="inlineStr">
        <is>
          <t>301</t>
        </is>
      </c>
      <c r="K22" s="4" t="inlineStr">
        <is>
          <t>https://www.aozora.gr.jp/cards/000035/card301.html</t>
        </is>
      </c>
      <c r="L22" s="5" t="n">
        <v>1948</v>
      </c>
      <c r="M22" s="4" t="n">
        <v>1948</v>
      </c>
      <c r="N22" s="5" t="inlineStr">
        <is>
          <t>editor</t>
        </is>
      </c>
      <c r="O22" s="4" t="inlineStr">
        <is>
          <t>6_昭和戦後(1945-)</t>
        </is>
      </c>
      <c r="P22" s="4" t="inlineStr">
        <is>
          <t>913</t>
        </is>
      </c>
      <c r="Q22" s="4" t="inlineStr">
        <is>
          <t>日本文学／小説・物語</t>
        </is>
      </c>
      <c r="R22" s="4" t="inlineStr">
        <is>
          <t>Fiction</t>
        </is>
      </c>
      <c r="S22" s="4" t="inlineStr">
        <is>
          <t>Modern</t>
        </is>
      </c>
      <c r="T22" s="4" t="inlineStr">
        <is>
          <t>novel</t>
        </is>
      </c>
      <c r="U22" s="4" t="inlineStr">
        <is>
          <t>general</t>
        </is>
      </c>
      <c r="V22" s="4" t="inlineStr">
        <is>
          <t>canonical</t>
        </is>
      </c>
      <c r="W22" s="4" t="inlineStr">
        <is>
          <t>first</t>
        </is>
      </c>
      <c r="X22" s="4" t="inlineStr">
        <is>
          <t>magazine</t>
        </is>
      </c>
      <c r="Y22" s="4" t="inlineStr">
        <is>
          <t>新字新仮名</t>
        </is>
      </c>
      <c r="Z22" s="4" t="inlineStr">
        <is>
          <t>complete</t>
        </is>
      </c>
      <c r="AA22" s="4" t="inlineStr">
        <is>
          <t>初出『展望』1948年6〜8月</t>
        </is>
      </c>
      <c r="AB22" s="4" t="n">
        <v>44964</v>
      </c>
      <c r="AC22" s="4" t="n">
        <v>5408</v>
      </c>
      <c r="AD22" s="4" t="n">
        <v>120.27</v>
      </c>
      <c r="AE22" s="4" t="n">
        <v>0.2553</v>
      </c>
      <c r="AF22" s="4" t="n">
        <v>0.0266</v>
      </c>
      <c r="AG22" s="4" t="n">
        <v>30.9</v>
      </c>
      <c r="AH22" s="4" t="n">
        <v>91.90000000000001</v>
      </c>
      <c r="AI22" s="4" t="n">
        <v>181.5</v>
      </c>
      <c r="AJ22" s="4" t="n">
        <v>5.1</v>
      </c>
      <c r="AK22" s="4" t="n">
        <v>0</v>
      </c>
      <c r="AL22" s="4" t="n">
        <v>0</v>
      </c>
      <c r="AM22" s="4" t="n">
        <v>25</v>
      </c>
      <c r="AN22" s="4" t="n">
        <v>0</v>
      </c>
      <c r="AO22" s="4" t="n">
        <v>10</v>
      </c>
      <c r="AP22" s="4" t="n">
        <v>0</v>
      </c>
      <c r="AQ22" s="4" t="inlineStr">
        <is>
          <t>C_口語体</t>
        </is>
      </c>
    </row>
    <row r="23">
      <c r="A23" s="4" t="inlineStr">
        <is>
          <t>JLIT022</t>
        </is>
      </c>
      <c r="B23" s="4" t="inlineStr">
        <is>
          <t>太宰_斜陽.txt</t>
        </is>
      </c>
      <c r="C23" s="4" t="inlineStr">
        <is>
          <t>太宰治</t>
        </is>
      </c>
      <c r="D23" s="4" t="inlineStr">
        <is>
          <t>だざい おさむ</t>
        </is>
      </c>
      <c r="E23" s="4" t="inlineStr">
        <is>
          <t>M</t>
        </is>
      </c>
      <c r="F23" s="4" t="n">
        <v>1909</v>
      </c>
      <c r="G23" s="4" t="n">
        <v>1948</v>
      </c>
      <c r="H23" s="4" t="inlineStr">
        <is>
          <t>斜陽</t>
        </is>
      </c>
      <c r="I23" s="4" t="inlineStr">
        <is>
          <t>000035</t>
        </is>
      </c>
      <c r="J23" s="4" t="inlineStr">
        <is>
          <t>1565</t>
        </is>
      </c>
      <c r="K23" s="4" t="inlineStr">
        <is>
          <t>https://www.aozora.gr.jp/cards/000035/card1565.html</t>
        </is>
      </c>
      <c r="L23" s="5" t="n">
        <v>1947</v>
      </c>
      <c r="M23" s="4" t="n">
        <v>1947</v>
      </c>
      <c r="N23" s="5" t="inlineStr">
        <is>
          <t>editor</t>
        </is>
      </c>
      <c r="O23" s="4" t="inlineStr">
        <is>
          <t>6_昭和戦後(1945-)</t>
        </is>
      </c>
      <c r="P23" s="4" t="inlineStr">
        <is>
          <t>913</t>
        </is>
      </c>
      <c r="Q23" s="4" t="inlineStr">
        <is>
          <t>日本文学／小説・物語</t>
        </is>
      </c>
      <c r="R23" s="4" t="inlineStr">
        <is>
          <t>Fiction</t>
        </is>
      </c>
      <c r="S23" s="4" t="inlineStr">
        <is>
          <t>Modern</t>
        </is>
      </c>
      <c r="T23" s="4" t="inlineStr">
        <is>
          <t>novel</t>
        </is>
      </c>
      <c r="U23" s="4" t="inlineStr">
        <is>
          <t>general</t>
        </is>
      </c>
      <c r="V23" s="4" t="inlineStr">
        <is>
          <t>canonical</t>
        </is>
      </c>
      <c r="W23" s="4" t="inlineStr">
        <is>
          <t>first</t>
        </is>
      </c>
      <c r="X23" s="4" t="inlineStr">
        <is>
          <t>magazine</t>
        </is>
      </c>
      <c r="Y23" s="4" t="inlineStr">
        <is>
          <t>新字新仮名</t>
        </is>
      </c>
      <c r="Z23" s="4" t="inlineStr">
        <is>
          <t>complete</t>
        </is>
      </c>
      <c r="AA23" s="4" t="inlineStr">
        <is>
          <t>初出『新潮』1947年7〜10月</t>
        </is>
      </c>
      <c r="AB23" s="4" t="n">
        <v>55108</v>
      </c>
      <c r="AC23" s="4" t="n">
        <v>5445</v>
      </c>
      <c r="AD23" s="4" t="n">
        <v>98.81</v>
      </c>
      <c r="AE23" s="4" t="n">
        <v>0.2207</v>
      </c>
      <c r="AF23" s="4" t="n">
        <v>0.021</v>
      </c>
      <c r="AG23" s="4" t="n">
        <v>24.1</v>
      </c>
      <c r="AH23" s="4" t="n">
        <v>124.7</v>
      </c>
      <c r="AI23" s="4" t="n">
        <v>168.4</v>
      </c>
      <c r="AJ23" s="4" t="n">
        <v>0.7</v>
      </c>
      <c r="AK23" s="4" t="n">
        <v>0</v>
      </c>
      <c r="AL23" s="4" t="n">
        <v>0</v>
      </c>
      <c r="AM23" s="4" t="n">
        <v>33</v>
      </c>
      <c r="AN23" s="4" t="n">
        <v>0</v>
      </c>
      <c r="AO23" s="4" t="n">
        <v>45</v>
      </c>
      <c r="AP23" s="4" t="n">
        <v>0</v>
      </c>
      <c r="AQ23" s="4" t="inlineStr">
        <is>
          <t>C_口語体</t>
        </is>
      </c>
    </row>
    <row r="24">
      <c r="A24" s="4" t="inlineStr">
        <is>
          <t>JLIT023</t>
        </is>
      </c>
      <c r="B24" s="4" t="inlineStr">
        <is>
          <t>室生犀星_蜜のあわれ.txt</t>
        </is>
      </c>
      <c r="C24" s="4" t="inlineStr">
        <is>
          <t>室生犀星</t>
        </is>
      </c>
      <c r="D24" s="4" t="inlineStr">
        <is>
          <t>むろう さいせい</t>
        </is>
      </c>
      <c r="E24" s="4" t="inlineStr">
        <is>
          <t>M</t>
        </is>
      </c>
      <c r="F24" s="4" t="n">
        <v>1889</v>
      </c>
      <c r="G24" s="4" t="n">
        <v>1962</v>
      </c>
      <c r="H24" s="4" t="inlineStr">
        <is>
          <t>蜜のあわれ</t>
        </is>
      </c>
      <c r="I24" s="4" t="inlineStr">
        <is>
          <t>001579</t>
        </is>
      </c>
      <c r="J24" s="4" t="inlineStr">
        <is>
          <t>53503</t>
        </is>
      </c>
      <c r="K24" s="4" t="inlineStr">
        <is>
          <t>https://www.aozora.gr.jp/cards/001579/card53503.html</t>
        </is>
      </c>
      <c r="L24" s="4" t="n">
        <v>1959</v>
      </c>
      <c r="M24" s="4" t="n">
        <v>1959</v>
      </c>
      <c r="N24" s="4" t="inlineStr">
        <is>
          <t>card</t>
        </is>
      </c>
      <c r="O24" s="4" t="inlineStr">
        <is>
          <t>6_昭和戦後(1945-)</t>
        </is>
      </c>
      <c r="P24" s="4" t="inlineStr">
        <is>
          <t>913</t>
        </is>
      </c>
      <c r="Q24" s="4" t="inlineStr">
        <is>
          <t>日本文学／小説・物語</t>
        </is>
      </c>
      <c r="R24" s="4" t="inlineStr">
        <is>
          <t>Fiction</t>
        </is>
      </c>
      <c r="S24" s="4" t="inlineStr">
        <is>
          <t>Experimental</t>
        </is>
      </c>
      <c r="T24" s="4" t="inlineStr">
        <is>
          <t>novella</t>
        </is>
      </c>
      <c r="U24" s="4" t="inlineStr">
        <is>
          <t>general</t>
        </is>
      </c>
      <c r="V24" s="4" t="inlineStr">
        <is>
          <t>canonical</t>
        </is>
      </c>
      <c r="W24" s="4" t="inlineStr">
        <is>
          <t>dialogue</t>
        </is>
      </c>
      <c r="X24" s="4" t="inlineStr">
        <is>
          <t>magazine</t>
        </is>
      </c>
      <c r="Y24" s="4" t="inlineStr">
        <is>
          <t>新字新仮名</t>
        </is>
      </c>
      <c r="Z24" s="4" t="inlineStr">
        <is>
          <t>complete</t>
        </is>
      </c>
      <c r="AA24" s="4" t="inlineStr">
        <is>
          <t>「新潮」1959年1〜4月。全篇対話体。v1 の「超現実主義的」を改める</t>
        </is>
      </c>
      <c r="AB24" s="4" t="n">
        <v>48730</v>
      </c>
      <c r="AC24" s="4" t="n">
        <v>4506</v>
      </c>
      <c r="AD24" s="4" t="n">
        <v>92.47</v>
      </c>
      <c r="AE24" s="4" t="n">
        <v>0.1754</v>
      </c>
      <c r="AF24" s="4" t="n">
        <v>0.0063</v>
      </c>
      <c r="AG24" s="4" t="n">
        <v>14.4</v>
      </c>
      <c r="AH24" s="4" t="n">
        <v>133.4</v>
      </c>
      <c r="AI24" s="4" t="n">
        <v>32</v>
      </c>
      <c r="AJ24" s="4" t="n">
        <v>3.1</v>
      </c>
      <c r="AK24" s="5" t="n">
        <v>1</v>
      </c>
      <c r="AL24" s="4" t="n">
        <v>0</v>
      </c>
      <c r="AM24" s="4" t="n">
        <v>32</v>
      </c>
      <c r="AN24" s="4" t="n">
        <v>0</v>
      </c>
      <c r="AO24" s="4" t="n">
        <v>0</v>
      </c>
      <c r="AP24" s="4" t="n">
        <v>0</v>
      </c>
      <c r="AQ24" s="4" t="inlineStr">
        <is>
          <t>C_口語体</t>
        </is>
      </c>
    </row>
    <row r="25">
      <c r="A25" s="4" t="inlineStr">
        <is>
          <t>JLIT024</t>
        </is>
      </c>
      <c r="B25" s="4" t="inlineStr">
        <is>
          <t>宮本百合子_二つの庭.txt</t>
        </is>
      </c>
      <c r="C25" s="4" t="inlineStr">
        <is>
          <t>宮本百合子</t>
        </is>
      </c>
      <c r="D25" s="4" t="inlineStr">
        <is>
          <t>みやもと ゆりこ</t>
        </is>
      </c>
      <c r="E25" s="4" t="inlineStr">
        <is>
          <t>F</t>
        </is>
      </c>
      <c r="F25" s="4" t="n">
        <v>1899</v>
      </c>
      <c r="G25" s="4" t="n">
        <v>1951</v>
      </c>
      <c r="H25" s="4" t="inlineStr">
        <is>
          <t>二つの庭</t>
        </is>
      </c>
      <c r="I25" s="4" t="inlineStr">
        <is>
          <t>000311</t>
        </is>
      </c>
      <c r="J25" s="4" t="inlineStr">
        <is>
          <t>2011</t>
        </is>
      </c>
      <c r="K25" s="4" t="inlineStr">
        <is>
          <t>https://www.aozora.gr.jp/cards/000311/card2011.html</t>
        </is>
      </c>
      <c r="L25" s="4" t="n">
        <v>1947</v>
      </c>
      <c r="M25" s="4" t="n">
        <v>1947</v>
      </c>
      <c r="N25" s="4" t="inlineStr">
        <is>
          <t>card</t>
        </is>
      </c>
      <c r="O25" s="4" t="inlineStr">
        <is>
          <t>6_昭和戦後(1945-)</t>
        </is>
      </c>
      <c r="P25" s="4" t="inlineStr">
        <is>
          <t>913</t>
        </is>
      </c>
      <c r="Q25" s="4" t="inlineStr">
        <is>
          <t>日本文学／小説・物語</t>
        </is>
      </c>
      <c r="R25" s="4" t="inlineStr">
        <is>
          <t>Fiction</t>
        </is>
      </c>
      <c r="S25" s="4" t="inlineStr">
        <is>
          <t>Modern</t>
        </is>
      </c>
      <c r="T25" s="4" t="inlineStr">
        <is>
          <t>novel</t>
        </is>
      </c>
      <c r="U25" s="4" t="inlineStr">
        <is>
          <t>general</t>
        </is>
      </c>
      <c r="V25" s="4" t="inlineStr">
        <is>
          <t>canonical</t>
        </is>
      </c>
      <c r="W25" s="4" t="inlineStr">
        <is>
          <t>third</t>
        </is>
      </c>
      <c r="X25" s="4" t="inlineStr">
        <is>
          <t>magazine</t>
        </is>
      </c>
      <c r="Y25" s="4" t="inlineStr">
        <is>
          <t>新字新仮名</t>
        </is>
      </c>
      <c r="Z25" s="4" t="inlineStr">
        <is>
          <t>complete</t>
        </is>
      </c>
      <c r="AA25" s="4" t="inlineStr">
        <is>
          <t>「中央公論」1947年1・3〜9月号。三部作の第2部</t>
        </is>
      </c>
      <c r="AB25" s="4" t="n">
        <v>119603</v>
      </c>
      <c r="AC25" s="4" t="n">
        <v>9689</v>
      </c>
      <c r="AD25" s="4" t="n">
        <v>81.01000000000001</v>
      </c>
      <c r="AE25" s="4" t="n">
        <v>0.2484</v>
      </c>
      <c r="AF25" s="4" t="n">
        <v>0.022</v>
      </c>
      <c r="AG25" s="4" t="n">
        <v>13</v>
      </c>
      <c r="AH25" s="4" t="n">
        <v>60.1</v>
      </c>
      <c r="AI25" s="4" t="n">
        <v>52</v>
      </c>
      <c r="AJ25" s="4" t="n">
        <v>4.1</v>
      </c>
      <c r="AK25" s="4" t="n">
        <v>0</v>
      </c>
      <c r="AL25" s="4" t="n">
        <v>0</v>
      </c>
      <c r="AM25" s="4" t="n">
        <v>217</v>
      </c>
      <c r="AN25" s="4" t="n">
        <v>0</v>
      </c>
      <c r="AO25" s="4" t="n">
        <v>65</v>
      </c>
      <c r="AP25" s="4" t="n">
        <v>4</v>
      </c>
      <c r="AQ25" s="4" t="inlineStr">
        <is>
          <t>C_口語体</t>
        </is>
      </c>
    </row>
    <row r="26">
      <c r="A26" s="4" t="inlineStr">
        <is>
          <t>JLIT025</t>
        </is>
      </c>
      <c r="B26" s="4" t="inlineStr">
        <is>
          <t>宮本百合子_伸子.txt</t>
        </is>
      </c>
      <c r="C26" s="4" t="inlineStr">
        <is>
          <t>宮本百合子</t>
        </is>
      </c>
      <c r="D26" s="4" t="inlineStr">
        <is>
          <t>みやもと ゆりこ</t>
        </is>
      </c>
      <c r="E26" s="4" t="inlineStr">
        <is>
          <t>F</t>
        </is>
      </c>
      <c r="F26" s="4" t="n">
        <v>1899</v>
      </c>
      <c r="G26" s="4" t="n">
        <v>1951</v>
      </c>
      <c r="H26" s="4" t="inlineStr">
        <is>
          <t>伸子</t>
        </is>
      </c>
      <c r="I26" s="4" t="inlineStr">
        <is>
          <t>000311</t>
        </is>
      </c>
      <c r="J26" s="4" t="inlineStr">
        <is>
          <t>2015</t>
        </is>
      </c>
      <c r="K26" s="4" t="inlineStr">
        <is>
          <t>https://www.aozora.gr.jp/cards/000311/card2015.html</t>
        </is>
      </c>
      <c r="L26" s="4" t="n">
        <v>1924</v>
      </c>
      <c r="M26" s="4" t="n">
        <v>1926</v>
      </c>
      <c r="N26" s="4" t="inlineStr">
        <is>
          <t>card</t>
        </is>
      </c>
      <c r="O26" s="4" t="inlineStr">
        <is>
          <t>4_大正(1912-1925)</t>
        </is>
      </c>
      <c r="P26" s="4" t="inlineStr">
        <is>
          <t>913</t>
        </is>
      </c>
      <c r="Q26" s="4" t="inlineStr">
        <is>
          <t>日本文学／小説・物語</t>
        </is>
      </c>
      <c r="R26" s="4" t="inlineStr">
        <is>
          <t>Fiction</t>
        </is>
      </c>
      <c r="S26" s="4" t="inlineStr">
        <is>
          <t>Modern</t>
        </is>
      </c>
      <c r="T26" s="4" t="inlineStr">
        <is>
          <t>novel</t>
        </is>
      </c>
      <c r="U26" s="4" t="inlineStr">
        <is>
          <t>general</t>
        </is>
      </c>
      <c r="V26" s="4" t="inlineStr">
        <is>
          <t>canonical</t>
        </is>
      </c>
      <c r="W26" s="4" t="inlineStr">
        <is>
          <t>third</t>
        </is>
      </c>
      <c r="X26" s="4" t="inlineStr">
        <is>
          <t>magazine</t>
        </is>
      </c>
      <c r="Y26" s="4" t="inlineStr">
        <is>
          <t>新字新仮名</t>
        </is>
      </c>
      <c r="Z26" s="4" t="inlineStr">
        <is>
          <t>complete</t>
        </is>
      </c>
      <c r="AA26" s="4" t="inlineStr">
        <is>
          <t>「改造」1924年9月〜1926年9月。v1 の1927は単行本年</t>
        </is>
      </c>
      <c r="AB26" s="4" t="n">
        <v>148254</v>
      </c>
      <c r="AC26" s="4" t="n">
        <v>11438</v>
      </c>
      <c r="AD26" s="4" t="n">
        <v>77.15000000000001</v>
      </c>
      <c r="AE26" s="4" t="n">
        <v>0.2822</v>
      </c>
      <c r="AF26" s="4" t="n">
        <v>0.0139</v>
      </c>
      <c r="AG26" s="4" t="n">
        <v>18.2</v>
      </c>
      <c r="AH26" s="4" t="n">
        <v>66.5</v>
      </c>
      <c r="AI26" s="4" t="n">
        <v>77.40000000000001</v>
      </c>
      <c r="AJ26" s="4" t="n">
        <v>68.3</v>
      </c>
      <c r="AK26" s="5" t="n">
        <v>1</v>
      </c>
      <c r="AL26" s="4" t="n">
        <v>0</v>
      </c>
      <c r="AM26" s="4" t="n">
        <v>358</v>
      </c>
      <c r="AN26" s="4" t="n">
        <v>0</v>
      </c>
      <c r="AO26" s="4" t="n">
        <v>185</v>
      </c>
      <c r="AP26" s="4" t="n">
        <v>8</v>
      </c>
      <c r="AQ26" s="4" t="inlineStr">
        <is>
          <t>C_口語体</t>
        </is>
      </c>
    </row>
    <row r="27">
      <c r="A27" s="4" t="inlineStr">
        <is>
          <t>JLIT026</t>
        </is>
      </c>
      <c r="B27" s="4" t="inlineStr">
        <is>
          <t>宮本百合子_播州平野.txt</t>
        </is>
      </c>
      <c r="C27" s="4" t="inlineStr">
        <is>
          <t>宮本百合子</t>
        </is>
      </c>
      <c r="D27" s="4" t="inlineStr">
        <is>
          <t>みやもと ゆりこ</t>
        </is>
      </c>
      <c r="E27" s="4" t="inlineStr">
        <is>
          <t>F</t>
        </is>
      </c>
      <c r="F27" s="4" t="n">
        <v>1899</v>
      </c>
      <c r="G27" s="4" t="n">
        <v>1951</v>
      </c>
      <c r="H27" s="4" t="inlineStr">
        <is>
          <t>播州平野</t>
        </is>
      </c>
      <c r="I27" s="4" t="inlineStr">
        <is>
          <t>000311</t>
        </is>
      </c>
      <c r="J27" s="4" t="inlineStr">
        <is>
          <t>2013</t>
        </is>
      </c>
      <c r="K27" s="4" t="inlineStr">
        <is>
          <t>https://www.aozora.gr.jp/cards/000311/card2013.html</t>
        </is>
      </c>
      <c r="L27" s="5" t="n">
        <v>1946</v>
      </c>
      <c r="M27" s="4" t="n">
        <v>1947</v>
      </c>
      <c r="N27" s="5" t="inlineStr">
        <is>
          <t>editor</t>
        </is>
      </c>
      <c r="O27" s="4" t="inlineStr">
        <is>
          <t>6_昭和戦後(1945-)</t>
        </is>
      </c>
      <c r="P27" s="4" t="inlineStr">
        <is>
          <t>913</t>
        </is>
      </c>
      <c r="Q27" s="4" t="inlineStr">
        <is>
          <t>日本文学／小説・物語</t>
        </is>
      </c>
      <c r="R27" s="4" t="inlineStr">
        <is>
          <t>Fiction</t>
        </is>
      </c>
      <c r="S27" s="4" t="inlineStr">
        <is>
          <t>Modern</t>
        </is>
      </c>
      <c r="T27" s="4" t="inlineStr">
        <is>
          <t>novel</t>
        </is>
      </c>
      <c r="U27" s="4" t="inlineStr">
        <is>
          <t>general</t>
        </is>
      </c>
      <c r="V27" s="4" t="inlineStr">
        <is>
          <t>canonical</t>
        </is>
      </c>
      <c r="W27" s="4" t="inlineStr">
        <is>
          <t>first</t>
        </is>
      </c>
      <c r="X27" s="4" t="inlineStr">
        <is>
          <t>magazine</t>
        </is>
      </c>
      <c r="Y27" s="4" t="inlineStr">
        <is>
          <t>新字新仮名</t>
        </is>
      </c>
      <c r="Z27" s="4" t="inlineStr">
        <is>
          <t>complete</t>
        </is>
      </c>
      <c r="AA27" s="4" t="inlineStr">
        <is>
          <t>「新日本文学」創刊号（1946年3月）ほか。カードに年次記載なし</t>
        </is>
      </c>
      <c r="AB27" s="4" t="n">
        <v>65997</v>
      </c>
      <c r="AC27" s="4" t="n">
        <v>7907</v>
      </c>
      <c r="AD27" s="4" t="n">
        <v>119.81</v>
      </c>
      <c r="AE27" s="4" t="n">
        <v>0.2704</v>
      </c>
      <c r="AF27" s="4" t="n">
        <v>0.0163</v>
      </c>
      <c r="AG27" s="4" t="n">
        <v>18</v>
      </c>
      <c r="AH27" s="4" t="n">
        <v>51.8</v>
      </c>
      <c r="AI27" s="4" t="n">
        <v>22</v>
      </c>
      <c r="AJ27" s="4" t="n">
        <v>2</v>
      </c>
      <c r="AK27" s="4" t="n">
        <v>0</v>
      </c>
      <c r="AL27" s="4" t="n">
        <v>0</v>
      </c>
      <c r="AM27" s="4" t="n">
        <v>144</v>
      </c>
      <c r="AN27" s="4" t="n">
        <v>0</v>
      </c>
      <c r="AO27" s="4" t="n">
        <v>3</v>
      </c>
      <c r="AP27" s="4" t="n">
        <v>2</v>
      </c>
      <c r="AQ27" s="4" t="inlineStr">
        <is>
          <t>C_口語体</t>
        </is>
      </c>
    </row>
    <row r="28">
      <c r="A28" s="4" t="inlineStr">
        <is>
          <t>JLIT027</t>
        </is>
      </c>
      <c r="B28" s="4" t="inlineStr">
        <is>
          <t>宮本百合子_道標.txt</t>
        </is>
      </c>
      <c r="C28" s="4" t="inlineStr">
        <is>
          <t>宮本百合子</t>
        </is>
      </c>
      <c r="D28" s="4" t="inlineStr">
        <is>
          <t>みやもと ゆりこ</t>
        </is>
      </c>
      <c r="E28" s="4" t="inlineStr">
        <is>
          <t>F</t>
        </is>
      </c>
      <c r="F28" s="4" t="n">
        <v>1899</v>
      </c>
      <c r="G28" s="4" t="n">
        <v>1951</v>
      </c>
      <c r="H28" s="4" t="inlineStr">
        <is>
          <t>道標</t>
        </is>
      </c>
      <c r="I28" s="4" t="inlineStr">
        <is>
          <t>000311</t>
        </is>
      </c>
      <c r="J28" s="4" t="inlineStr">
        <is>
          <t>2012</t>
        </is>
      </c>
      <c r="K28" s="4" t="inlineStr">
        <is>
          <t>https://www.aozora.gr.jp/cards/000311/card2012.html</t>
        </is>
      </c>
      <c r="L28" s="4" t="n">
        <v>1947</v>
      </c>
      <c r="M28" s="4" t="n">
        <v>1950</v>
      </c>
      <c r="N28" s="4" t="inlineStr">
        <is>
          <t>card</t>
        </is>
      </c>
      <c r="O28" s="4" t="inlineStr">
        <is>
          <t>6_昭和戦後(1945-)</t>
        </is>
      </c>
      <c r="P28" s="4" t="inlineStr">
        <is>
          <t>913</t>
        </is>
      </c>
      <c r="Q28" s="4" t="inlineStr">
        <is>
          <t>日本文学／小説・物語</t>
        </is>
      </c>
      <c r="R28" s="4" t="inlineStr">
        <is>
          <t>Fiction</t>
        </is>
      </c>
      <c r="S28" s="4" t="inlineStr">
        <is>
          <t>Modern</t>
        </is>
      </c>
      <c r="T28" s="4" t="inlineStr">
        <is>
          <t>novel</t>
        </is>
      </c>
      <c r="U28" s="4" t="inlineStr">
        <is>
          <t>general</t>
        </is>
      </c>
      <c r="V28" s="4" t="inlineStr">
        <is>
          <t>canonical</t>
        </is>
      </c>
      <c r="W28" s="4" t="inlineStr">
        <is>
          <t>third</t>
        </is>
      </c>
      <c r="X28" s="4" t="inlineStr">
        <is>
          <t>magazine</t>
        </is>
      </c>
      <c r="Y28" s="4" t="inlineStr">
        <is>
          <t>新字新仮名</t>
        </is>
      </c>
      <c r="Z28" s="4" t="inlineStr">
        <is>
          <t>complete</t>
        </is>
      </c>
      <c r="AA28" s="4" t="inlineStr">
        <is>
          <t>「展望」1947年10月〜1950年12月。外字欠落86件</t>
        </is>
      </c>
      <c r="AB28" s="4" t="n">
        <v>490142</v>
      </c>
      <c r="AC28" s="4" t="n">
        <v>21565</v>
      </c>
      <c r="AD28" s="4" t="n">
        <v>44</v>
      </c>
      <c r="AE28" s="4" t="n">
        <v>0.2431</v>
      </c>
      <c r="AF28" s="4" t="n">
        <v>0.0756</v>
      </c>
      <c r="AG28" s="4" t="n">
        <v>12.5</v>
      </c>
      <c r="AH28" s="4" t="n">
        <v>105.4</v>
      </c>
      <c r="AI28" s="4" t="n">
        <v>40.6</v>
      </c>
      <c r="AJ28" s="4" t="n">
        <v>11.9</v>
      </c>
      <c r="AK28" s="5" t="n">
        <v>86</v>
      </c>
      <c r="AL28" s="4" t="n">
        <v>0</v>
      </c>
      <c r="AM28" s="4" t="n">
        <v>1037</v>
      </c>
      <c r="AN28" s="4" t="n">
        <v>0</v>
      </c>
      <c r="AO28" s="4" t="n">
        <v>184</v>
      </c>
      <c r="AP28" s="4" t="n">
        <v>55</v>
      </c>
      <c r="AQ28" s="4" t="inlineStr">
        <is>
          <t>C_口語体</t>
        </is>
      </c>
    </row>
    <row r="29">
      <c r="A29" s="4" t="inlineStr">
        <is>
          <t>JLIT028</t>
        </is>
      </c>
      <c r="B29" s="4" t="inlineStr">
        <is>
          <t>小栗虫太郎_潜航艇「鷹の城」.txt</t>
        </is>
      </c>
      <c r="C29" s="4" t="inlineStr">
        <is>
          <t>小栗虫太郎</t>
        </is>
      </c>
      <c r="D29" s="4" t="inlineStr">
        <is>
          <t>おぐり むしたろう</t>
        </is>
      </c>
      <c r="E29" s="4" t="inlineStr">
        <is>
          <t>M</t>
        </is>
      </c>
      <c r="F29" s="4" t="n">
        <v>1901</v>
      </c>
      <c r="G29" s="4" t="n">
        <v>1946</v>
      </c>
      <c r="H29" s="4" t="inlineStr">
        <is>
          <t>潜航艇「鷹の城」</t>
        </is>
      </c>
      <c r="I29" s="4" t="inlineStr">
        <is>
          <t>000125</t>
        </is>
      </c>
      <c r="J29" s="4" t="inlineStr">
        <is>
          <t>43656</t>
        </is>
      </c>
      <c r="K29" s="4" t="inlineStr">
        <is>
          <t>https://www.aozora.gr.jp/cards/000125/card43656.html</t>
        </is>
      </c>
      <c r="L29" s="4" t="n">
        <v>1935</v>
      </c>
      <c r="M29" s="4" t="n">
        <v>1935</v>
      </c>
      <c r="N29" s="4" t="inlineStr">
        <is>
          <t>card</t>
        </is>
      </c>
      <c r="O29" s="4" t="inlineStr">
        <is>
          <t>5_昭和戦前(1926-1944)</t>
        </is>
      </c>
      <c r="P29" s="4" t="inlineStr">
        <is>
          <t>913</t>
        </is>
      </c>
      <c r="Q29" s="4" t="inlineStr">
        <is>
          <t>日本文学／小説・物語</t>
        </is>
      </c>
      <c r="R29" s="4" t="inlineStr">
        <is>
          <t>Fiction</t>
        </is>
      </c>
      <c r="S29" s="4" t="inlineStr">
        <is>
          <t>Detective</t>
        </is>
      </c>
      <c r="T29" s="4" t="inlineStr">
        <is>
          <t>novella</t>
        </is>
      </c>
      <c r="U29" s="4" t="inlineStr">
        <is>
          <t>general</t>
        </is>
      </c>
      <c r="V29" s="4" t="inlineStr">
        <is>
          <t>middlebrow</t>
        </is>
      </c>
      <c r="W29" s="4" t="inlineStr">
        <is>
          <t>first</t>
        </is>
      </c>
      <c r="X29" s="4" t="inlineStr">
        <is>
          <t>magazine</t>
        </is>
      </c>
      <c r="Y29" s="4" t="inlineStr">
        <is>
          <t>新字新仮名</t>
        </is>
      </c>
      <c r="Z29" s="4" t="inlineStr">
        <is>
          <t>complete</t>
        </is>
      </c>
      <c r="AA29" s="4" t="inlineStr">
        <is>
          <t>【修正】v1 の1977は底本（現代教養文庫）刊年。初出は「新青年」1935年4〜5月号</t>
        </is>
      </c>
      <c r="AB29" s="4" t="n">
        <v>39906</v>
      </c>
      <c r="AC29" s="4" t="n">
        <v>5563</v>
      </c>
      <c r="AD29" s="4" t="n">
        <v>139.4</v>
      </c>
      <c r="AE29" s="4" t="n">
        <v>0.2653</v>
      </c>
      <c r="AF29" s="4" t="n">
        <v>0.0523</v>
      </c>
      <c r="AG29" s="4" t="n">
        <v>18</v>
      </c>
      <c r="AH29" s="4" t="n">
        <v>108.8</v>
      </c>
      <c r="AI29" s="4" t="n">
        <v>28.6</v>
      </c>
      <c r="AJ29" s="4" t="n">
        <v>19.8</v>
      </c>
      <c r="AK29" s="4" t="n">
        <v>0</v>
      </c>
      <c r="AL29" s="4" t="n">
        <v>0</v>
      </c>
      <c r="AM29" s="4" t="n">
        <v>67</v>
      </c>
      <c r="AN29" s="4" t="n">
        <v>0</v>
      </c>
      <c r="AO29" s="4" t="n">
        <v>452</v>
      </c>
      <c r="AP29" s="4" t="n">
        <v>8</v>
      </c>
      <c r="AQ29" s="4" t="inlineStr">
        <is>
          <t>C_口語体</t>
        </is>
      </c>
    </row>
    <row r="30">
      <c r="A30" s="4" t="inlineStr">
        <is>
          <t>JLIT029</t>
        </is>
      </c>
      <c r="B30" s="4" t="inlineStr">
        <is>
          <t>小栗虫太郎_白蟻.txt</t>
        </is>
      </c>
      <c r="C30" s="4" t="inlineStr">
        <is>
          <t>小栗虫太郎</t>
        </is>
      </c>
      <c r="D30" s="4" t="inlineStr">
        <is>
          <t>おぐり むしたろう</t>
        </is>
      </c>
      <c r="E30" s="4" t="inlineStr">
        <is>
          <t>M</t>
        </is>
      </c>
      <c r="F30" s="4" t="n">
        <v>1901</v>
      </c>
      <c r="G30" s="4" t="n">
        <v>1946</v>
      </c>
      <c r="H30" s="4" t="inlineStr">
        <is>
          <t>白蟻</t>
        </is>
      </c>
      <c r="I30" s="4" t="inlineStr">
        <is>
          <t>000125</t>
        </is>
      </c>
      <c r="J30" s="4" t="inlineStr">
        <is>
          <t>666</t>
        </is>
      </c>
      <c r="K30" s="4" t="inlineStr">
        <is>
          <t>https://www.aozora.gr.jp/cards/000125/card666.html</t>
        </is>
      </c>
      <c r="L30" s="5" t="n">
        <v>1935</v>
      </c>
      <c r="M30" s="4" t="n">
        <v>1935</v>
      </c>
      <c r="N30" s="5" t="inlineStr">
        <is>
          <t>editor</t>
        </is>
      </c>
      <c r="O30" s="4" t="inlineStr">
        <is>
          <t>5_昭和戦前(1926-1944)</t>
        </is>
      </c>
      <c r="P30" s="4" t="inlineStr">
        <is>
          <t>913</t>
        </is>
      </c>
      <c r="Q30" s="4" t="inlineStr">
        <is>
          <t>日本文学／小説・物語</t>
        </is>
      </c>
      <c r="R30" s="4" t="inlineStr">
        <is>
          <t>Fiction</t>
        </is>
      </c>
      <c r="S30" s="4" t="inlineStr">
        <is>
          <t>Detective</t>
        </is>
      </c>
      <c r="T30" s="4" t="inlineStr">
        <is>
          <t>novella</t>
        </is>
      </c>
      <c r="U30" s="4" t="inlineStr">
        <is>
          <t>general</t>
        </is>
      </c>
      <c r="V30" s="4" t="inlineStr">
        <is>
          <t>middlebrow</t>
        </is>
      </c>
      <c r="W30" s="4" t="inlineStr">
        <is>
          <t>first</t>
        </is>
      </c>
      <c r="X30" s="4" t="inlineStr">
        <is>
          <t>magazine</t>
        </is>
      </c>
      <c r="Y30" s="4" t="inlineStr">
        <is>
          <t>新字新仮名</t>
        </is>
      </c>
      <c r="Z30" s="4" t="inlineStr">
        <is>
          <t>complete</t>
        </is>
      </c>
      <c r="AA30" s="4" t="inlineStr">
        <is>
          <t>「新青年」1935年。カードに初出欄なし</t>
        </is>
      </c>
      <c r="AB30" s="4" t="n">
        <v>34013</v>
      </c>
      <c r="AC30" s="4" t="n">
        <v>4710</v>
      </c>
      <c r="AD30" s="4" t="n">
        <v>138.48</v>
      </c>
      <c r="AE30" s="4" t="n">
        <v>0.2598</v>
      </c>
      <c r="AF30" s="4" t="n">
        <v>0.0056</v>
      </c>
      <c r="AG30" s="4" t="n">
        <v>16.8</v>
      </c>
      <c r="AH30" s="4" t="n">
        <v>122.9</v>
      </c>
      <c r="AI30" s="4" t="n">
        <v>53.2</v>
      </c>
      <c r="AJ30" s="4" t="n">
        <v>19.1</v>
      </c>
      <c r="AK30" s="4" t="n">
        <v>0</v>
      </c>
      <c r="AL30" s="4" t="n">
        <v>0</v>
      </c>
      <c r="AM30" s="4" t="n">
        <v>39</v>
      </c>
      <c r="AN30" s="4" t="n">
        <v>0</v>
      </c>
      <c r="AO30" s="4" t="n">
        <v>1</v>
      </c>
      <c r="AP30" s="4" t="n">
        <v>1</v>
      </c>
      <c r="AQ30" s="4" t="inlineStr">
        <is>
          <t>C_口語体</t>
        </is>
      </c>
    </row>
    <row r="31">
      <c r="A31" s="4" t="inlineStr">
        <is>
          <t>JLIT030</t>
        </is>
      </c>
      <c r="B31" s="4" t="inlineStr">
        <is>
          <t>小栗虫太郎_黒死館.txt</t>
        </is>
      </c>
      <c r="C31" s="4" t="inlineStr">
        <is>
          <t>小栗虫太郎</t>
        </is>
      </c>
      <c r="D31" s="4" t="inlineStr">
        <is>
          <t>おぐり むしたろう</t>
        </is>
      </c>
      <c r="E31" s="4" t="inlineStr">
        <is>
          <t>M</t>
        </is>
      </c>
      <c r="F31" s="4" t="n">
        <v>1901</v>
      </c>
      <c r="G31" s="4" t="n">
        <v>1946</v>
      </c>
      <c r="H31" s="4" t="inlineStr">
        <is>
          <t>黒死館殺人事件</t>
        </is>
      </c>
      <c r="I31" s="4" t="inlineStr">
        <is>
          <t>000125</t>
        </is>
      </c>
      <c r="J31" s="4" t="inlineStr">
        <is>
          <t>1317</t>
        </is>
      </c>
      <c r="K31" s="4" t="inlineStr">
        <is>
          <t>https://www.aozora.gr.jp/cards/000125/card1317.html</t>
        </is>
      </c>
      <c r="L31" s="4" t="n">
        <v>1934</v>
      </c>
      <c r="M31" s="4" t="n">
        <v>1934</v>
      </c>
      <c r="N31" s="4" t="inlineStr">
        <is>
          <t>card</t>
        </is>
      </c>
      <c r="O31" s="4" t="inlineStr">
        <is>
          <t>5_昭和戦前(1926-1944)</t>
        </is>
      </c>
      <c r="P31" s="4" t="inlineStr">
        <is>
          <t>913</t>
        </is>
      </c>
      <c r="Q31" s="4" t="inlineStr">
        <is>
          <t>日本文学／小説・物語</t>
        </is>
      </c>
      <c r="R31" s="4" t="inlineStr">
        <is>
          <t>Fiction</t>
        </is>
      </c>
      <c r="S31" s="4" t="inlineStr">
        <is>
          <t>Detective</t>
        </is>
      </c>
      <c r="T31" s="4" t="inlineStr">
        <is>
          <t>novel</t>
        </is>
      </c>
      <c r="U31" s="4" t="inlineStr">
        <is>
          <t>general</t>
        </is>
      </c>
      <c r="V31" s="4" t="inlineStr">
        <is>
          <t>middlebrow</t>
        </is>
      </c>
      <c r="W31" s="4" t="inlineStr">
        <is>
          <t>first</t>
        </is>
      </c>
      <c r="X31" s="4" t="inlineStr">
        <is>
          <t>magazine</t>
        </is>
      </c>
      <c r="Y31" s="4" t="inlineStr">
        <is>
          <t>新字新仮名</t>
        </is>
      </c>
      <c r="Z31" s="4" t="inlineStr">
        <is>
          <t>complete</t>
        </is>
      </c>
      <c r="AA31" s="4" t="inlineStr">
        <is>
          <t>「新青年」1934年4〜12月号。外字欠落19件、ラテン文字1098字</t>
        </is>
      </c>
      <c r="AB31" s="4" t="n">
        <v>186895</v>
      </c>
      <c r="AC31" s="4" t="n">
        <v>13484</v>
      </c>
      <c r="AD31" s="4" t="n">
        <v>72.15000000000001</v>
      </c>
      <c r="AE31" s="4" t="n">
        <v>0.3129</v>
      </c>
      <c r="AF31" s="4" t="n">
        <v>0.0401</v>
      </c>
      <c r="AG31" s="4" t="n">
        <v>18.9</v>
      </c>
      <c r="AH31" s="4" t="n">
        <v>101.3</v>
      </c>
      <c r="AI31" s="4" t="n">
        <v>29.6</v>
      </c>
      <c r="AJ31" s="4" t="n">
        <v>14.1</v>
      </c>
      <c r="AK31" s="5" t="n">
        <v>19</v>
      </c>
      <c r="AL31" s="4" t="n">
        <v>0</v>
      </c>
      <c r="AM31" s="4" t="n">
        <v>218</v>
      </c>
      <c r="AN31" s="4" t="n">
        <v>0</v>
      </c>
      <c r="AO31" s="4" t="n">
        <v>1098</v>
      </c>
      <c r="AP31" s="4" t="n">
        <v>12</v>
      </c>
      <c r="AQ31" s="4" t="inlineStr">
        <is>
          <t>C_口語体</t>
        </is>
      </c>
    </row>
    <row r="32">
      <c r="A32" s="4" t="inlineStr">
        <is>
          <t>JLIT031</t>
        </is>
      </c>
      <c r="B32" s="4" t="inlineStr">
        <is>
          <t>岡本かの子_仏教人生読本.txt</t>
        </is>
      </c>
      <c r="C32" s="4" t="inlineStr">
        <is>
          <t>岡本かの子</t>
        </is>
      </c>
      <c r="D32" s="4" t="inlineStr">
        <is>
          <t>おかもと かのこ</t>
        </is>
      </c>
      <c r="E32" s="4" t="inlineStr">
        <is>
          <t>F</t>
        </is>
      </c>
      <c r="F32" s="4" t="n">
        <v>1889</v>
      </c>
      <c r="G32" s="4" t="n">
        <v>1939</v>
      </c>
      <c r="H32" s="4" t="inlineStr">
        <is>
          <t>仏教人生読本</t>
        </is>
      </c>
      <c r="I32" s="4" t="inlineStr">
        <is>
          <t>000076</t>
        </is>
      </c>
      <c r="J32" s="4" t="inlineStr">
        <is>
          <t>52342</t>
        </is>
      </c>
      <c r="K32" s="4" t="inlineStr">
        <is>
          <t>https://www.aozora.gr.jp/cards/000076/card52342.html</t>
        </is>
      </c>
      <c r="L32" s="5" t="n">
        <v>1934</v>
      </c>
      <c r="M32" s="4" t="n">
        <v>1934</v>
      </c>
      <c r="N32" s="5" t="inlineStr">
        <is>
          <t>editor</t>
        </is>
      </c>
      <c r="O32" s="4" t="inlineStr">
        <is>
          <t>5_昭和戦前(1926-1944)</t>
        </is>
      </c>
      <c r="P32" s="4" t="inlineStr">
        <is>
          <t>180</t>
        </is>
      </c>
      <c r="Q32" s="4" t="inlineStr">
        <is>
          <t>仏教（総記）</t>
        </is>
      </c>
      <c r="R32" s="4" t="inlineStr">
        <is>
          <t>Nonfiction</t>
        </is>
      </c>
      <c r="S32" s="4" t="inlineStr">
        <is>
          <t>Religious-Didactic</t>
        </is>
      </c>
      <c r="T32" s="4" t="inlineStr">
        <is>
          <t>treatise</t>
        </is>
      </c>
      <c r="U32" s="4" t="inlineStr">
        <is>
          <t>general</t>
        </is>
      </c>
      <c r="V32" s="4" t="inlineStr">
        <is>
          <t>middlebrow</t>
        </is>
      </c>
      <c r="W32" s="4" t="inlineStr">
        <is>
          <t>none</t>
        </is>
      </c>
      <c r="X32" s="4" t="inlineStr">
        <is>
          <t>book</t>
        </is>
      </c>
      <c r="Y32" s="4" t="inlineStr">
        <is>
          <t>新字新仮名</t>
        </is>
      </c>
      <c r="Z32" s="4" t="inlineStr">
        <is>
          <t>complete</t>
        </is>
      </c>
      <c r="AA32" s="4" t="inlineStr">
        <is>
          <t>【修正】NDC 180（仏教）。v1 の「自己啓発？/Essay?」を改める</t>
        </is>
      </c>
      <c r="AB32" s="4" t="n">
        <v>76541</v>
      </c>
      <c r="AC32" s="4" t="n">
        <v>8417</v>
      </c>
      <c r="AD32" s="4" t="n">
        <v>109.97</v>
      </c>
      <c r="AE32" s="4" t="n">
        <v>0.3275</v>
      </c>
      <c r="AF32" s="4" t="n">
        <v>0.0067</v>
      </c>
      <c r="AG32" s="4" t="n">
        <v>43.4</v>
      </c>
      <c r="AH32" s="4" t="n">
        <v>262.2</v>
      </c>
      <c r="AI32" s="4" t="n">
        <v>44.6</v>
      </c>
      <c r="AJ32" s="4" t="n">
        <v>3.9</v>
      </c>
      <c r="AK32" s="5" t="n">
        <v>4</v>
      </c>
      <c r="AL32" s="4" t="n">
        <v>0</v>
      </c>
      <c r="AM32" s="4" t="n">
        <v>164</v>
      </c>
      <c r="AN32" s="4" t="n">
        <v>0</v>
      </c>
      <c r="AO32" s="4" t="n">
        <v>22</v>
      </c>
      <c r="AP32" s="4" t="n">
        <v>0</v>
      </c>
      <c r="AQ32" s="4" t="inlineStr">
        <is>
          <t>B_過渡的文体</t>
        </is>
      </c>
    </row>
    <row r="33">
      <c r="A33" s="4" t="inlineStr">
        <is>
          <t>JLIT032</t>
        </is>
      </c>
      <c r="B33" s="4" t="inlineStr">
        <is>
          <t>岡本かの子_母子叙情.txt</t>
        </is>
      </c>
      <c r="C33" s="4" t="inlineStr">
        <is>
          <t>岡本かの子</t>
        </is>
      </c>
      <c r="D33" s="4" t="inlineStr">
        <is>
          <t>おかもと かのこ</t>
        </is>
      </c>
      <c r="E33" s="4" t="inlineStr">
        <is>
          <t>F</t>
        </is>
      </c>
      <c r="F33" s="4" t="n">
        <v>1889</v>
      </c>
      <c r="G33" s="4" t="n">
        <v>1939</v>
      </c>
      <c r="H33" s="4" t="inlineStr">
        <is>
          <t>母子叙情</t>
        </is>
      </c>
      <c r="I33" s="4" t="inlineStr">
        <is>
          <t>000076</t>
        </is>
      </c>
      <c r="J33" s="4" t="inlineStr">
        <is>
          <t>1282</t>
        </is>
      </c>
      <c r="K33" s="4" t="inlineStr">
        <is>
          <t>https://www.aozora.gr.jp/cards/000076/card1282.html</t>
        </is>
      </c>
      <c r="L33" s="4" t="n">
        <v>1937</v>
      </c>
      <c r="M33" s="4" t="n">
        <v>1937</v>
      </c>
      <c r="N33" s="4" t="inlineStr">
        <is>
          <t>card</t>
        </is>
      </c>
      <c r="O33" s="4" t="inlineStr">
        <is>
          <t>5_昭和戦前(1926-1944)</t>
        </is>
      </c>
      <c r="P33" s="4" t="inlineStr">
        <is>
          <t>913</t>
        </is>
      </c>
      <c r="Q33" s="4" t="inlineStr">
        <is>
          <t>日本文学／小説・物語</t>
        </is>
      </c>
      <c r="R33" s="4" t="inlineStr">
        <is>
          <t>Fiction</t>
        </is>
      </c>
      <c r="S33" s="4" t="inlineStr">
        <is>
          <t>Modern</t>
        </is>
      </c>
      <c r="T33" s="4" t="inlineStr">
        <is>
          <t>novella</t>
        </is>
      </c>
      <c r="U33" s="4" t="inlineStr">
        <is>
          <t>general</t>
        </is>
      </c>
      <c r="V33" s="4" t="inlineStr">
        <is>
          <t>canonical</t>
        </is>
      </c>
      <c r="W33" s="4" t="inlineStr">
        <is>
          <t>third</t>
        </is>
      </c>
      <c r="X33" s="4" t="inlineStr">
        <is>
          <t>magazine</t>
        </is>
      </c>
      <c r="Y33" s="4" t="inlineStr">
        <is>
          <t>新字新仮名</t>
        </is>
      </c>
      <c r="Z33" s="4" t="inlineStr">
        <is>
          <t>complete</t>
        </is>
      </c>
      <c r="AA33" s="4" t="inlineStr">
        <is>
          <t>「文学界」1937年3月号</t>
        </is>
      </c>
      <c r="AB33" s="4" t="n">
        <v>48465</v>
      </c>
      <c r="AC33" s="4" t="n">
        <v>6657</v>
      </c>
      <c r="AD33" s="4" t="n">
        <v>137.36</v>
      </c>
      <c r="AE33" s="4" t="n">
        <v>0.3026</v>
      </c>
      <c r="AF33" s="4" t="n">
        <v>0.0284</v>
      </c>
      <c r="AG33" s="4" t="n">
        <v>18</v>
      </c>
      <c r="AH33" s="4" t="n">
        <v>96.8</v>
      </c>
      <c r="AI33" s="4" t="n">
        <v>59</v>
      </c>
      <c r="AJ33" s="4" t="n">
        <v>15.9</v>
      </c>
      <c r="AK33" s="5" t="n">
        <v>3</v>
      </c>
      <c r="AL33" s="4" t="n">
        <v>0</v>
      </c>
      <c r="AM33" s="4" t="n">
        <v>100</v>
      </c>
      <c r="AN33" s="4" t="n">
        <v>0</v>
      </c>
      <c r="AO33" s="4" t="n">
        <v>68</v>
      </c>
      <c r="AP33" s="4" t="n">
        <v>0</v>
      </c>
      <c r="AQ33" s="4" t="inlineStr">
        <is>
          <t>C_口語体</t>
        </is>
      </c>
    </row>
    <row r="34">
      <c r="A34" s="4" t="inlineStr">
        <is>
          <t>JLIT033</t>
        </is>
      </c>
      <c r="B34" s="4" t="inlineStr">
        <is>
          <t>岡本かの子_生々流転.txt</t>
        </is>
      </c>
      <c r="C34" s="4" t="inlineStr">
        <is>
          <t>岡本かの子</t>
        </is>
      </c>
      <c r="D34" s="4" t="inlineStr">
        <is>
          <t>おかもと かのこ</t>
        </is>
      </c>
      <c r="E34" s="4" t="inlineStr">
        <is>
          <t>F</t>
        </is>
      </c>
      <c r="F34" s="4" t="n">
        <v>1889</v>
      </c>
      <c r="G34" s="4" t="n">
        <v>1939</v>
      </c>
      <c r="H34" s="4" t="inlineStr">
        <is>
          <t>生々流転</t>
        </is>
      </c>
      <c r="I34" s="4" t="inlineStr">
        <is>
          <t>000076</t>
        </is>
      </c>
      <c r="J34" s="4" t="inlineStr">
        <is>
          <t>45641</t>
        </is>
      </c>
      <c r="K34" s="4" t="inlineStr">
        <is>
          <t>https://www.aozora.gr.jp/cards/000076/card45641.html</t>
        </is>
      </c>
      <c r="L34" s="5" t="n">
        <v>1939</v>
      </c>
      <c r="M34" s="4" t="n">
        <v>1940</v>
      </c>
      <c r="N34" s="5" t="inlineStr">
        <is>
          <t>editor</t>
        </is>
      </c>
      <c r="O34" s="4" t="inlineStr">
        <is>
          <t>5_昭和戦前(1926-1944)</t>
        </is>
      </c>
      <c r="P34" s="4" t="inlineStr">
        <is>
          <t>913</t>
        </is>
      </c>
      <c r="Q34" s="4" t="inlineStr">
        <is>
          <t>日本文学／小説・物語</t>
        </is>
      </c>
      <c r="R34" s="4" t="inlineStr">
        <is>
          <t>Fiction</t>
        </is>
      </c>
      <c r="S34" s="4" t="inlineStr">
        <is>
          <t>Modern</t>
        </is>
      </c>
      <c r="T34" s="4" t="inlineStr">
        <is>
          <t>novel</t>
        </is>
      </c>
      <c r="U34" s="4" t="inlineStr">
        <is>
          <t>general</t>
        </is>
      </c>
      <c r="V34" s="4" t="inlineStr">
        <is>
          <t>canonical</t>
        </is>
      </c>
      <c r="W34" s="4" t="inlineStr">
        <is>
          <t>first</t>
        </is>
      </c>
      <c r="X34" s="4" t="inlineStr">
        <is>
          <t>magazine</t>
        </is>
      </c>
      <c r="Y34" s="4" t="inlineStr">
        <is>
          <t>新字新仮名</t>
        </is>
      </c>
      <c r="Z34" s="4" t="inlineStr">
        <is>
          <t>incomplete</t>
        </is>
      </c>
      <c r="AA34" s="4" t="inlineStr">
        <is>
          <t>作者急逝により未完。仮名踊り字191件・外字欠落20件</t>
        </is>
      </c>
      <c r="AB34" s="4" t="n">
        <v>186608</v>
      </c>
      <c r="AC34" s="4" t="n">
        <v>15928</v>
      </c>
      <c r="AD34" s="4" t="n">
        <v>85.36</v>
      </c>
      <c r="AE34" s="4" t="n">
        <v>0.2969</v>
      </c>
      <c r="AF34" s="4" t="n">
        <v>0.0101</v>
      </c>
      <c r="AG34" s="4" t="n">
        <v>27.9</v>
      </c>
      <c r="AH34" s="4" t="n">
        <v>132.5</v>
      </c>
      <c r="AI34" s="4" t="n">
        <v>143.2</v>
      </c>
      <c r="AJ34" s="4" t="n">
        <v>8.800000000000001</v>
      </c>
      <c r="AK34" s="5" t="n">
        <v>20</v>
      </c>
      <c r="AL34" s="4" t="n">
        <v>191</v>
      </c>
      <c r="AM34" s="4" t="n">
        <v>238</v>
      </c>
      <c r="AN34" s="4" t="n">
        <v>0</v>
      </c>
      <c r="AO34" s="4" t="n">
        <v>91</v>
      </c>
      <c r="AP34" s="4" t="n">
        <v>0</v>
      </c>
      <c r="AQ34" s="4" t="inlineStr">
        <is>
          <t>C_口語体</t>
        </is>
      </c>
    </row>
    <row r="35">
      <c r="A35" s="4" t="inlineStr">
        <is>
          <t>JLIT034</t>
        </is>
      </c>
      <c r="B35" s="4" t="inlineStr">
        <is>
          <t>徳冨蘆花_不如帰.txt</t>
        </is>
      </c>
      <c r="C35" s="4" t="inlineStr">
        <is>
          <t>徳冨蘆花</t>
        </is>
      </c>
      <c r="D35" s="4" t="inlineStr">
        <is>
          <t>とくとみ ろか</t>
        </is>
      </c>
      <c r="E35" s="4" t="inlineStr">
        <is>
          <t>M</t>
        </is>
      </c>
      <c r="F35" s="4" t="n">
        <v>1868</v>
      </c>
      <c r="G35" s="4" t="n">
        <v>1927</v>
      </c>
      <c r="H35" s="4" t="inlineStr">
        <is>
          <t>小説 不如帰</t>
        </is>
      </c>
      <c r="I35" s="4" t="inlineStr">
        <is>
          <t>000280</t>
        </is>
      </c>
      <c r="J35" s="4" t="inlineStr">
        <is>
          <t>1706</t>
        </is>
      </c>
      <c r="K35" s="4" t="inlineStr">
        <is>
          <t>https://www.aozora.gr.jp/cards/000280/card1706.html</t>
        </is>
      </c>
      <c r="L35" s="5" t="n">
        <v>1898</v>
      </c>
      <c r="M35" s="4" t="n">
        <v>1899</v>
      </c>
      <c r="N35" s="5" t="inlineStr">
        <is>
          <t>editor</t>
        </is>
      </c>
      <c r="O35" s="4" t="inlineStr">
        <is>
          <t>2_明治中期(1887-1899)</t>
        </is>
      </c>
      <c r="P35" s="4" t="inlineStr">
        <is>
          <t>913</t>
        </is>
      </c>
      <c r="Q35" s="4" t="inlineStr">
        <is>
          <t>日本文学／小説・物語</t>
        </is>
      </c>
      <c r="R35" s="4" t="inlineStr">
        <is>
          <t>Fiction</t>
        </is>
      </c>
      <c r="S35" s="4" t="inlineStr">
        <is>
          <t>Melodrama</t>
        </is>
      </c>
      <c r="T35" s="4" t="inlineStr">
        <is>
          <t>novel</t>
        </is>
      </c>
      <c r="U35" s="4" t="inlineStr">
        <is>
          <t>general</t>
        </is>
      </c>
      <c r="V35" s="4" t="inlineStr">
        <is>
          <t>popular</t>
        </is>
      </c>
      <c r="W35" s="4" t="inlineStr">
        <is>
          <t>third</t>
        </is>
      </c>
      <c r="X35" s="4" t="inlineStr">
        <is>
          <t>newspaper</t>
        </is>
      </c>
      <c r="Y35" s="4" t="inlineStr">
        <is>
          <t>新字新仮名</t>
        </is>
      </c>
      <c r="Z35" s="4" t="inlineStr">
        <is>
          <t>complete</t>
        </is>
      </c>
      <c r="AA35" s="4" t="inlineStr">
        <is>
          <t>「國民新聞」1898年11月〜1899年5月。文語的措辞が濃厚（文語標識156.5/万語）。外字欠落47件</t>
        </is>
      </c>
      <c r="AB35" s="4" t="n">
        <v>80167</v>
      </c>
      <c r="AC35" s="4" t="n">
        <v>9564</v>
      </c>
      <c r="AD35" s="4" t="n">
        <v>119.3</v>
      </c>
      <c r="AE35" s="4" t="n">
        <v>0.2868</v>
      </c>
      <c r="AF35" s="4" t="n">
        <v>0.0097</v>
      </c>
      <c r="AG35" s="4" t="n">
        <v>156.5</v>
      </c>
      <c r="AH35" s="4" t="n">
        <v>93.90000000000001</v>
      </c>
      <c r="AI35" s="4" t="n">
        <v>23.2</v>
      </c>
      <c r="AJ35" s="4" t="n">
        <v>10.6</v>
      </c>
      <c r="AK35" s="5" t="n">
        <v>47</v>
      </c>
      <c r="AL35" s="4" t="n">
        <v>0</v>
      </c>
      <c r="AM35" s="4" t="n">
        <v>301</v>
      </c>
      <c r="AN35" s="4" t="n">
        <v>0</v>
      </c>
      <c r="AO35" s="4" t="n">
        <v>0</v>
      </c>
      <c r="AP35" s="4" t="n">
        <v>0</v>
      </c>
      <c r="AQ35" s="4" t="inlineStr">
        <is>
          <t>B_過渡的文体</t>
        </is>
      </c>
    </row>
    <row r="36">
      <c r="A36" s="4" t="inlineStr">
        <is>
          <t>JLIT035</t>
        </is>
      </c>
      <c r="B36" s="4" t="inlineStr">
        <is>
          <t>林芙美子_放浪記初出.txt</t>
        </is>
      </c>
      <c r="C36" s="4" t="inlineStr">
        <is>
          <t>林芙美子</t>
        </is>
      </c>
      <c r="D36" s="4" t="inlineStr">
        <is>
          <t>はやし ふみこ</t>
        </is>
      </c>
      <c r="E36" s="4" t="inlineStr">
        <is>
          <t>F</t>
        </is>
      </c>
      <c r="F36" s="4" t="n">
        <v>1903</v>
      </c>
      <c r="G36" s="4" t="n">
        <v>1951</v>
      </c>
      <c r="H36" s="4" t="inlineStr">
        <is>
          <t>放浪記（初出）</t>
        </is>
      </c>
      <c r="I36" s="4" t="inlineStr">
        <is>
          <t>000291</t>
        </is>
      </c>
      <c r="J36" s="4" t="inlineStr">
        <is>
          <t>45649</t>
        </is>
      </c>
      <c r="K36" s="4" t="inlineStr">
        <is>
          <t>https://www.aozora.gr.jp/cards/000291/card45649.html</t>
        </is>
      </c>
      <c r="L36" s="4" t="n">
        <v>1928</v>
      </c>
      <c r="M36" s="4" t="n">
        <v>1930</v>
      </c>
      <c r="N36" s="4" t="inlineStr">
        <is>
          <t>card</t>
        </is>
      </c>
      <c r="O36" s="4" t="inlineStr">
        <is>
          <t>5_昭和戦前(1926-1944)</t>
        </is>
      </c>
      <c r="P36" s="4" t="inlineStr">
        <is>
          <t>913</t>
        </is>
      </c>
      <c r="Q36" s="4" t="inlineStr">
        <is>
          <t>日本文学／小説・物語</t>
        </is>
      </c>
      <c r="R36" s="4" t="inlineStr">
        <is>
          <t>Nonfiction</t>
        </is>
      </c>
      <c r="S36" s="4" t="inlineStr">
        <is>
          <t>Autobiographical-Diary</t>
        </is>
      </c>
      <c r="T36" s="4" t="inlineStr">
        <is>
          <t>diary-novel</t>
        </is>
      </c>
      <c r="U36" s="4" t="inlineStr">
        <is>
          <t>general</t>
        </is>
      </c>
      <c r="V36" s="4" t="inlineStr">
        <is>
          <t>middlebrow</t>
        </is>
      </c>
      <c r="W36" s="4" t="inlineStr">
        <is>
          <t>first</t>
        </is>
      </c>
      <c r="X36" s="4" t="inlineStr">
        <is>
          <t>magazine</t>
        </is>
      </c>
      <c r="Y36" s="4" t="inlineStr">
        <is>
          <t>新字新仮名</t>
        </is>
      </c>
      <c r="Z36" s="4" t="inlineStr">
        <is>
          <t>complete</t>
        </is>
      </c>
      <c r="AA36" s="4" t="inlineStr">
        <is>
          <t>「女人藝術」1928年10月〜1930年10月。初出形。校訂注の混入1件（「裏」はママ］）</t>
        </is>
      </c>
      <c r="AB36" s="4" t="n">
        <v>64446</v>
      </c>
      <c r="AC36" s="4" t="n">
        <v>7572</v>
      </c>
      <c r="AD36" s="4" t="n">
        <v>117.49</v>
      </c>
      <c r="AE36" s="4" t="n">
        <v>0.2778</v>
      </c>
      <c r="AF36" s="4" t="n">
        <v>0.0507</v>
      </c>
      <c r="AG36" s="4" t="n">
        <v>16.8</v>
      </c>
      <c r="AH36" s="4" t="n">
        <v>66.7</v>
      </c>
      <c r="AI36" s="4" t="n">
        <v>140.6</v>
      </c>
      <c r="AJ36" s="4" t="n">
        <v>5.4</v>
      </c>
      <c r="AK36" s="5" t="n">
        <v>5</v>
      </c>
      <c r="AL36" s="4" t="n">
        <v>34</v>
      </c>
      <c r="AM36" s="4" t="n">
        <v>140</v>
      </c>
      <c r="AN36" s="4" t="n">
        <v>0</v>
      </c>
      <c r="AO36" s="4" t="n">
        <v>5</v>
      </c>
      <c r="AP36" s="4" t="n">
        <v>0</v>
      </c>
      <c r="AQ36" s="4" t="inlineStr">
        <is>
          <t>C_口語体</t>
        </is>
      </c>
    </row>
    <row r="37">
      <c r="A37" s="4" t="inlineStr">
        <is>
          <t>JLIT036</t>
        </is>
      </c>
      <c r="B37" s="4" t="inlineStr">
        <is>
          <t>林芙美子_新版放浪記.txt</t>
        </is>
      </c>
      <c r="C37" s="4" t="inlineStr">
        <is>
          <t>林芙美子</t>
        </is>
      </c>
      <c r="D37" s="4" t="inlineStr">
        <is>
          <t>はやし ふみこ</t>
        </is>
      </c>
      <c r="E37" s="4" t="inlineStr">
        <is>
          <t>F</t>
        </is>
      </c>
      <c r="F37" s="4" t="n">
        <v>1903</v>
      </c>
      <c r="G37" s="4" t="n">
        <v>1951</v>
      </c>
      <c r="H37" s="4" t="inlineStr">
        <is>
          <t>新版 放浪記</t>
        </is>
      </c>
      <c r="I37" s="4" t="inlineStr">
        <is>
          <t>000291</t>
        </is>
      </c>
      <c r="J37" s="4" t="inlineStr">
        <is>
          <t>1813</t>
        </is>
      </c>
      <c r="K37" s="4" t="inlineStr">
        <is>
          <t>https://www.aozora.gr.jp/cards/000291/card1813.html</t>
        </is>
      </c>
      <c r="L37" s="4" t="n">
        <v>1928</v>
      </c>
      <c r="M37" s="4" t="n">
        <v>1930</v>
      </c>
      <c r="N37" s="4" t="inlineStr">
        <is>
          <t>card</t>
        </is>
      </c>
      <c r="O37" s="4" t="inlineStr">
        <is>
          <t>5_昭和戦前(1926-1944)</t>
        </is>
      </c>
      <c r="P37" s="4" t="inlineStr">
        <is>
          <t>913</t>
        </is>
      </c>
      <c r="Q37" s="4" t="inlineStr">
        <is>
          <t>日本文学／小説・物語</t>
        </is>
      </c>
      <c r="R37" s="4" t="inlineStr">
        <is>
          <t>Nonfiction</t>
        </is>
      </c>
      <c r="S37" s="4" t="inlineStr">
        <is>
          <t>Autobiographical-Diary</t>
        </is>
      </c>
      <c r="T37" s="4" t="inlineStr">
        <is>
          <t>diary-novel</t>
        </is>
      </c>
      <c r="U37" s="4" t="inlineStr">
        <is>
          <t>general</t>
        </is>
      </c>
      <c r="V37" s="4" t="inlineStr">
        <is>
          <t>middlebrow</t>
        </is>
      </c>
      <c r="W37" s="4" t="inlineStr">
        <is>
          <t>first</t>
        </is>
      </c>
      <c r="X37" s="4" t="inlineStr">
        <is>
          <t>book</t>
        </is>
      </c>
      <c r="Y37" s="4" t="inlineStr">
        <is>
          <t>新字新仮名</t>
        </is>
      </c>
      <c r="Z37" s="4" t="inlineStr">
        <is>
          <t>revised</t>
        </is>
      </c>
      <c r="AA37" s="4" t="inlineStr">
        <is>
          <t>初出は上に同じ。本テクストは1949年の改稿版（新版）。版差研究用のペア</t>
        </is>
      </c>
      <c r="AB37" s="4" t="n">
        <v>154617</v>
      </c>
      <c r="AC37" s="4" t="n">
        <v>12781</v>
      </c>
      <c r="AD37" s="4" t="n">
        <v>82.66</v>
      </c>
      <c r="AE37" s="4" t="n">
        <v>0.2709</v>
      </c>
      <c r="AF37" s="4" t="n">
        <v>0.0358</v>
      </c>
      <c r="AG37" s="4" t="n">
        <v>29.8</v>
      </c>
      <c r="AH37" s="4" t="n">
        <v>63.3</v>
      </c>
      <c r="AI37" s="4" t="n">
        <v>136.5</v>
      </c>
      <c r="AJ37" s="4" t="n">
        <v>3.1</v>
      </c>
      <c r="AK37" s="4" t="n">
        <v>0</v>
      </c>
      <c r="AL37" s="4" t="n">
        <v>0</v>
      </c>
      <c r="AM37" s="4" t="n">
        <v>315</v>
      </c>
      <c r="AN37" s="4" t="n">
        <v>0</v>
      </c>
      <c r="AO37" s="4" t="n">
        <v>5</v>
      </c>
      <c r="AP37" s="4" t="n">
        <v>11</v>
      </c>
      <c r="AQ37" s="4" t="inlineStr">
        <is>
          <t>C_口語体</t>
        </is>
      </c>
    </row>
    <row r="38">
      <c r="A38" s="4" t="inlineStr">
        <is>
          <t>JLIT037</t>
        </is>
      </c>
      <c r="B38" s="4" t="inlineStr">
        <is>
          <t>海野十三_地球要塞.txt</t>
        </is>
      </c>
      <c r="C38" s="4" t="inlineStr">
        <is>
          <t>海野十三</t>
        </is>
      </c>
      <c r="D38" s="4" t="inlineStr">
        <is>
          <t>うんの じゅうざ</t>
        </is>
      </c>
      <c r="E38" s="4" t="inlineStr">
        <is>
          <t>M</t>
        </is>
      </c>
      <c r="F38" s="4" t="n">
        <v>1897</v>
      </c>
      <c r="G38" s="4" t="n">
        <v>1949</v>
      </c>
      <c r="H38" s="4" t="inlineStr">
        <is>
          <t>地球要塞</t>
        </is>
      </c>
      <c r="I38" s="4" t="inlineStr">
        <is>
          <t>000160</t>
        </is>
      </c>
      <c r="J38" s="4" t="inlineStr">
        <is>
          <t>3239</t>
        </is>
      </c>
      <c r="K38" s="4" t="inlineStr">
        <is>
          <t>https://www.aozora.gr.jp/cards/000160/card3239.html</t>
        </is>
      </c>
      <c r="L38" s="4" t="n">
        <v>1940</v>
      </c>
      <c r="M38" s="4" t="n">
        <v>1941</v>
      </c>
      <c r="N38" s="4" t="inlineStr">
        <is>
          <t>card</t>
        </is>
      </c>
      <c r="O38" s="4" t="inlineStr">
        <is>
          <t>5_昭和戦前(1926-1944)</t>
        </is>
      </c>
      <c r="P38" s="4" t="inlineStr">
        <is>
          <t>913</t>
        </is>
      </c>
      <c r="Q38" s="4" t="inlineStr">
        <is>
          <t>日本文学／小説・物語</t>
        </is>
      </c>
      <c r="R38" s="4" t="inlineStr">
        <is>
          <t>Fiction</t>
        </is>
      </c>
      <c r="S38" s="4" t="inlineStr">
        <is>
          <t>SF</t>
        </is>
      </c>
      <c r="T38" s="4" t="inlineStr">
        <is>
          <t>novel</t>
        </is>
      </c>
      <c r="U38" s="4" t="inlineStr">
        <is>
          <t>general</t>
        </is>
      </c>
      <c r="V38" s="4" t="inlineStr">
        <is>
          <t>popular</t>
        </is>
      </c>
      <c r="W38" s="4" t="inlineStr">
        <is>
          <t>first</t>
        </is>
      </c>
      <c r="X38" s="4" t="inlineStr">
        <is>
          <t>magazine</t>
        </is>
      </c>
      <c r="Y38" s="4" t="inlineStr">
        <is>
          <t>新字新仮名</t>
        </is>
      </c>
      <c r="Z38" s="4" t="inlineStr">
        <is>
          <t>complete</t>
        </is>
      </c>
      <c r="AA38" s="4" t="inlineStr">
        <is>
          <t>「譚海」1940年8月〜1941年2月号</t>
        </is>
      </c>
      <c r="AB38" s="4" t="n">
        <v>45402</v>
      </c>
      <c r="AC38" s="4" t="n">
        <v>5012</v>
      </c>
      <c r="AD38" s="4" t="n">
        <v>110.39</v>
      </c>
      <c r="AE38" s="4" t="n">
        <v>0.2635</v>
      </c>
      <c r="AF38" s="4" t="n">
        <v>0.0318</v>
      </c>
      <c r="AG38" s="4" t="n">
        <v>20.5</v>
      </c>
      <c r="AH38" s="4" t="n">
        <v>41.6</v>
      </c>
      <c r="AI38" s="4" t="n">
        <v>145.4</v>
      </c>
      <c r="AJ38" s="4" t="n">
        <v>9</v>
      </c>
      <c r="AK38" s="4" t="n">
        <v>0</v>
      </c>
      <c r="AL38" s="4" t="n">
        <v>0</v>
      </c>
      <c r="AM38" s="4" t="n">
        <v>20</v>
      </c>
      <c r="AN38" s="4" t="n">
        <v>0</v>
      </c>
      <c r="AO38" s="4" t="n">
        <v>157</v>
      </c>
      <c r="AP38" s="4" t="n">
        <v>5</v>
      </c>
      <c r="AQ38" s="4" t="inlineStr">
        <is>
          <t>C_口語体</t>
        </is>
      </c>
    </row>
    <row r="39">
      <c r="A39" s="4" t="inlineStr">
        <is>
          <t>JLIT038</t>
        </is>
      </c>
      <c r="B39" s="4" t="inlineStr">
        <is>
          <t>海野十三_怪塔王.txt</t>
        </is>
      </c>
      <c r="C39" s="4" t="inlineStr">
        <is>
          <t>海野十三</t>
        </is>
      </c>
      <c r="D39" s="4" t="inlineStr">
        <is>
          <t>うんの じゅうざ</t>
        </is>
      </c>
      <c r="E39" s="4" t="inlineStr">
        <is>
          <t>M</t>
        </is>
      </c>
      <c r="F39" s="4" t="n">
        <v>1897</v>
      </c>
      <c r="G39" s="4" t="n">
        <v>1949</v>
      </c>
      <c r="H39" s="4" t="inlineStr">
        <is>
          <t>怪塔王</t>
        </is>
      </c>
      <c r="I39" s="4" t="inlineStr">
        <is>
          <t>000160</t>
        </is>
      </c>
      <c r="J39" s="4" t="inlineStr">
        <is>
          <t>3370</t>
        </is>
      </c>
      <c r="K39" s="4" t="inlineStr">
        <is>
          <t>https://www.aozora.gr.jp/cards/000160/card3370.html</t>
        </is>
      </c>
      <c r="L39" s="4" t="n">
        <v>1938</v>
      </c>
      <c r="M39" s="4" t="n">
        <v>1938</v>
      </c>
      <c r="N39" s="4" t="inlineStr">
        <is>
          <t>card</t>
        </is>
      </c>
      <c r="O39" s="4" t="inlineStr">
        <is>
          <t>5_昭和戦前(1926-1944)</t>
        </is>
      </c>
      <c r="P39" s="4" t="inlineStr">
        <is>
          <t>K913</t>
        </is>
      </c>
      <c r="Q39" s="4" t="inlineStr">
        <is>
          <t>児童書／日本の小説・物語</t>
        </is>
      </c>
      <c r="R39" s="4" t="inlineStr">
        <is>
          <t>Fiction</t>
        </is>
      </c>
      <c r="S39" s="4" t="inlineStr">
        <is>
          <t>Juvenile-SF</t>
        </is>
      </c>
      <c r="T39" s="4" t="inlineStr">
        <is>
          <t>novel</t>
        </is>
      </c>
      <c r="U39" s="4" t="inlineStr">
        <is>
          <t>juvenile</t>
        </is>
      </c>
      <c r="V39" s="4" t="inlineStr">
        <is>
          <t>popular</t>
        </is>
      </c>
      <c r="W39" s="4" t="inlineStr">
        <is>
          <t>third</t>
        </is>
      </c>
      <c r="X39" s="4" t="inlineStr">
        <is>
          <t>newspaper</t>
        </is>
      </c>
      <c r="Y39" s="4" t="inlineStr">
        <is>
          <t>新字新仮名</t>
        </is>
      </c>
      <c r="Z39" s="4" t="inlineStr">
        <is>
          <t>complete</t>
        </is>
      </c>
      <c r="AA39" s="4" t="inlineStr">
        <is>
          <t>「東日本小学生新聞」1938年4〜12月</t>
        </is>
      </c>
      <c r="AB39" s="4" t="n">
        <v>99361</v>
      </c>
      <c r="AC39" s="4" t="n">
        <v>6774</v>
      </c>
      <c r="AD39" s="4" t="n">
        <v>68.18000000000001</v>
      </c>
      <c r="AE39" s="4" t="n">
        <v>0.2101</v>
      </c>
      <c r="AF39" s="4" t="n">
        <v>0.0191</v>
      </c>
      <c r="AG39" s="4" t="n">
        <v>23.1</v>
      </c>
      <c r="AH39" s="4" t="n">
        <v>165.8</v>
      </c>
      <c r="AI39" s="4" t="n">
        <v>28.9</v>
      </c>
      <c r="AJ39" s="4" t="n">
        <v>9.199999999999999</v>
      </c>
      <c r="AK39" s="4" t="n">
        <v>0</v>
      </c>
      <c r="AL39" s="4" t="n">
        <v>0</v>
      </c>
      <c r="AM39" s="4" t="n">
        <v>31</v>
      </c>
      <c r="AN39" s="4" t="n">
        <v>0</v>
      </c>
      <c r="AO39" s="4" t="n">
        <v>4</v>
      </c>
      <c r="AP39" s="4" t="n">
        <v>238</v>
      </c>
      <c r="AQ39" s="4" t="inlineStr">
        <is>
          <t>C_口語体</t>
        </is>
      </c>
    </row>
    <row r="40">
      <c r="A40" s="4" t="inlineStr">
        <is>
          <t>JLIT039</t>
        </is>
      </c>
      <c r="B40" s="4" t="inlineStr">
        <is>
          <t>海野十三_敗戦日記.txt</t>
        </is>
      </c>
      <c r="C40" s="4" t="inlineStr">
        <is>
          <t>海野十三</t>
        </is>
      </c>
      <c r="D40" s="4" t="inlineStr">
        <is>
          <t>うんの じゅうざ</t>
        </is>
      </c>
      <c r="E40" s="4" t="inlineStr">
        <is>
          <t>M</t>
        </is>
      </c>
      <c r="F40" s="4" t="n">
        <v>1897</v>
      </c>
      <c r="G40" s="4" t="n">
        <v>1949</v>
      </c>
      <c r="H40" s="4" t="inlineStr">
        <is>
          <t>海野十三敗戦日記</t>
        </is>
      </c>
      <c r="I40" s="4" t="inlineStr">
        <is>
          <t>000160</t>
        </is>
      </c>
      <c r="J40" s="4" t="inlineStr">
        <is>
          <t>1255</t>
        </is>
      </c>
      <c r="K40" s="4" t="inlineStr">
        <is>
          <t>https://www.aozora.gr.jp/cards/000160/card1255.html</t>
        </is>
      </c>
      <c r="L40" s="5" t="n">
        <v>1944</v>
      </c>
      <c r="M40" s="4" t="n">
        <v>1945</v>
      </c>
      <c r="N40" s="5" t="inlineStr">
        <is>
          <t>editor</t>
        </is>
      </c>
      <c r="O40" s="4" t="inlineStr">
        <is>
          <t>5_昭和戦前(1926-1944)</t>
        </is>
      </c>
      <c r="P40" s="4" t="inlineStr">
        <is>
          <t>915</t>
        </is>
      </c>
      <c r="Q40" s="4" t="inlineStr">
        <is>
          <t>日本文学／日記・書簡・紀行</t>
        </is>
      </c>
      <c r="R40" s="4" t="inlineStr">
        <is>
          <t>Nonfiction</t>
        </is>
      </c>
      <c r="S40" s="4" t="inlineStr">
        <is>
          <t>Diary</t>
        </is>
      </c>
      <c r="T40" s="4" t="inlineStr">
        <is>
          <t>diary</t>
        </is>
      </c>
      <c r="U40" s="4" t="inlineStr">
        <is>
          <t>general</t>
        </is>
      </c>
      <c r="V40" s="4" t="inlineStr">
        <is>
          <t>documentary</t>
        </is>
      </c>
      <c r="W40" s="4" t="inlineStr">
        <is>
          <t>first</t>
        </is>
      </c>
      <c r="X40" s="4" t="inlineStr">
        <is>
          <t>book</t>
        </is>
      </c>
      <c r="Y40" s="4" t="inlineStr">
        <is>
          <t>新字新仮名</t>
        </is>
      </c>
      <c r="Z40" s="4" t="inlineStr">
        <is>
          <t>complete</t>
        </is>
      </c>
      <c r="AA40" s="4" t="inlineStr">
        <is>
          <t>【重大】青空文庫の奥付・入力者注・外字一覧が本文末尾に残存。外字欠落110件。要再構築</t>
        </is>
      </c>
      <c r="AB40" s="4" t="n">
        <v>50131</v>
      </c>
      <c r="AC40" s="4" t="n">
        <v>8499</v>
      </c>
      <c r="AD40" s="4" t="n">
        <v>169.54</v>
      </c>
      <c r="AE40" s="4" t="n">
        <v>0.3819</v>
      </c>
      <c r="AF40" s="4" t="n">
        <v>0.0284</v>
      </c>
      <c r="AG40" s="4" t="n">
        <v>49.7</v>
      </c>
      <c r="AH40" s="4" t="n">
        <v>15</v>
      </c>
      <c r="AI40" s="4" t="n">
        <v>21.9</v>
      </c>
      <c r="AJ40" s="4" t="n">
        <v>1.4</v>
      </c>
      <c r="AK40" s="5" t="n">
        <v>110</v>
      </c>
      <c r="AL40" s="4" t="n">
        <v>0</v>
      </c>
      <c r="AM40" s="4" t="n">
        <v>76</v>
      </c>
      <c r="AN40" s="4" t="n">
        <v>4</v>
      </c>
      <c r="AO40" s="4" t="n">
        <v>330</v>
      </c>
      <c r="AP40" s="4" t="n">
        <v>393</v>
      </c>
      <c r="AQ40" s="4" t="inlineStr">
        <is>
          <t>B_過渡的文体</t>
        </is>
      </c>
    </row>
    <row r="41">
      <c r="A41" s="4" t="inlineStr">
        <is>
          <t>JLIT040</t>
        </is>
      </c>
      <c r="B41" s="4" t="inlineStr">
        <is>
          <t>海野十三_浮かぶ飛行島.txt</t>
        </is>
      </c>
      <c r="C41" s="4" t="inlineStr">
        <is>
          <t>海野十三</t>
        </is>
      </c>
      <c r="D41" s="4" t="inlineStr">
        <is>
          <t>うんの じゅうざ</t>
        </is>
      </c>
      <c r="E41" s="4" t="inlineStr">
        <is>
          <t>M</t>
        </is>
      </c>
      <c r="F41" s="4" t="n">
        <v>1897</v>
      </c>
      <c r="G41" s="4" t="n">
        <v>1949</v>
      </c>
      <c r="H41" s="4" t="inlineStr">
        <is>
          <t>浮かぶ飛行島</t>
        </is>
      </c>
      <c r="I41" s="4" t="inlineStr">
        <is>
          <t>000160</t>
        </is>
      </c>
      <c r="J41" s="4" t="inlineStr">
        <is>
          <t>3527</t>
        </is>
      </c>
      <c r="K41" s="4" t="inlineStr">
        <is>
          <t>https://www.aozora.gr.jp/cards/000160/card3527.html</t>
        </is>
      </c>
      <c r="L41" s="4" t="n">
        <v>1938</v>
      </c>
      <c r="M41" s="4" t="n">
        <v>1938</v>
      </c>
      <c r="N41" s="4" t="inlineStr">
        <is>
          <t>card</t>
        </is>
      </c>
      <c r="O41" s="4" t="inlineStr">
        <is>
          <t>5_昭和戦前(1926-1944)</t>
        </is>
      </c>
      <c r="P41" s="4" t="inlineStr">
        <is>
          <t>K913</t>
        </is>
      </c>
      <c r="Q41" s="4" t="inlineStr">
        <is>
          <t>児童書／日本の小説・物語</t>
        </is>
      </c>
      <c r="R41" s="4" t="inlineStr">
        <is>
          <t>Fiction</t>
        </is>
      </c>
      <c r="S41" s="4" t="inlineStr">
        <is>
          <t>Juvenile-SF</t>
        </is>
      </c>
      <c r="T41" s="4" t="inlineStr">
        <is>
          <t>novel</t>
        </is>
      </c>
      <c r="U41" s="4" t="inlineStr">
        <is>
          <t>juvenile</t>
        </is>
      </c>
      <c r="V41" s="4" t="inlineStr">
        <is>
          <t>popular</t>
        </is>
      </c>
      <c r="W41" s="4" t="inlineStr">
        <is>
          <t>third</t>
        </is>
      </c>
      <c r="X41" s="4" t="inlineStr">
        <is>
          <t>magazine</t>
        </is>
      </c>
      <c r="Y41" s="4" t="inlineStr">
        <is>
          <t>新字新仮名</t>
        </is>
      </c>
      <c r="Z41" s="4" t="inlineStr">
        <is>
          <t>complete</t>
        </is>
      </c>
      <c r="AA41" s="4" t="inlineStr">
        <is>
          <t>「少年倶楽部」1938年1〜12月</t>
        </is>
      </c>
      <c r="AB41" s="4" t="n">
        <v>74707</v>
      </c>
      <c r="AC41" s="4" t="n">
        <v>7452</v>
      </c>
      <c r="AD41" s="4" t="n">
        <v>99.75</v>
      </c>
      <c r="AE41" s="4" t="n">
        <v>0.2748</v>
      </c>
      <c r="AF41" s="4" t="n">
        <v>0.0358</v>
      </c>
      <c r="AG41" s="4" t="n">
        <v>16.9</v>
      </c>
      <c r="AH41" s="4" t="n">
        <v>84.09999999999999</v>
      </c>
      <c r="AI41" s="4" t="n">
        <v>33.6</v>
      </c>
      <c r="AJ41" s="4" t="n">
        <v>21.6</v>
      </c>
      <c r="AK41" s="4" t="n">
        <v>0</v>
      </c>
      <c r="AL41" s="4" t="n">
        <v>0</v>
      </c>
      <c r="AM41" s="4" t="n">
        <v>54</v>
      </c>
      <c r="AN41" s="4" t="n">
        <v>0</v>
      </c>
      <c r="AO41" s="4" t="n">
        <v>1</v>
      </c>
      <c r="AP41" s="4" t="n">
        <v>0</v>
      </c>
      <c r="AQ41" s="4" t="inlineStr">
        <is>
          <t>C_口語体</t>
        </is>
      </c>
    </row>
    <row r="42">
      <c r="A42" s="4" t="inlineStr">
        <is>
          <t>JLIT041</t>
        </is>
      </c>
      <c r="B42" s="4" t="inlineStr">
        <is>
          <t>海野十三_火星兵団.txt</t>
        </is>
      </c>
      <c r="C42" s="4" t="inlineStr">
        <is>
          <t>海野十三</t>
        </is>
      </c>
      <c r="D42" s="4" t="inlineStr">
        <is>
          <t>うんの じゅうざ</t>
        </is>
      </c>
      <c r="E42" s="4" t="inlineStr">
        <is>
          <t>M</t>
        </is>
      </c>
      <c r="F42" s="4" t="n">
        <v>1897</v>
      </c>
      <c r="G42" s="4" t="n">
        <v>1949</v>
      </c>
      <c r="H42" s="4" t="inlineStr">
        <is>
          <t>火星兵団</t>
        </is>
      </c>
      <c r="I42" s="4" t="inlineStr">
        <is>
          <t>000160</t>
        </is>
      </c>
      <c r="J42" s="4" t="inlineStr">
        <is>
          <t>3368</t>
        </is>
      </c>
      <c r="K42" s="4" t="inlineStr">
        <is>
          <t>https://www.aozora.gr.jp/cards/000160/card3368.html</t>
        </is>
      </c>
      <c r="L42" s="4" t="n">
        <v>1939</v>
      </c>
      <c r="M42" s="4" t="n">
        <v>1940</v>
      </c>
      <c r="N42" s="4" t="inlineStr">
        <is>
          <t>card</t>
        </is>
      </c>
      <c r="O42" s="4" t="inlineStr">
        <is>
          <t>5_昭和戦前(1926-1944)</t>
        </is>
      </c>
      <c r="P42" s="4" t="inlineStr">
        <is>
          <t>K913</t>
        </is>
      </c>
      <c r="Q42" s="4" t="inlineStr">
        <is>
          <t>児童書／日本の小説・物語</t>
        </is>
      </c>
      <c r="R42" s="4" t="inlineStr">
        <is>
          <t>Fiction</t>
        </is>
      </c>
      <c r="S42" s="4" t="inlineStr">
        <is>
          <t>Juvenile-SF</t>
        </is>
      </c>
      <c r="T42" s="4" t="inlineStr">
        <is>
          <t>novel</t>
        </is>
      </c>
      <c r="U42" s="4" t="inlineStr">
        <is>
          <t>juvenile</t>
        </is>
      </c>
      <c r="V42" s="4" t="inlineStr">
        <is>
          <t>popular</t>
        </is>
      </c>
      <c r="W42" s="4" t="inlineStr">
        <is>
          <t>third</t>
        </is>
      </c>
      <c r="X42" s="4" t="inlineStr">
        <is>
          <t>newspaper</t>
        </is>
      </c>
      <c r="Y42" s="4" t="inlineStr">
        <is>
          <t>新字新仮名</t>
        </is>
      </c>
      <c r="Z42" s="4" t="inlineStr">
        <is>
          <t>complete</t>
        </is>
      </c>
      <c r="AA42" s="4" t="inlineStr">
        <is>
          <t>「大毎小学生新聞」「東日本小学生新聞」1939年9月〜1940年12月</t>
        </is>
      </c>
      <c r="AB42" s="4" t="n">
        <v>190367</v>
      </c>
      <c r="AC42" s="4" t="n">
        <v>9281</v>
      </c>
      <c r="AD42" s="4" t="n">
        <v>48.75</v>
      </c>
      <c r="AE42" s="4" t="n">
        <v>0.2221</v>
      </c>
      <c r="AF42" s="4" t="n">
        <v>0.0153</v>
      </c>
      <c r="AG42" s="4" t="n">
        <v>13.7</v>
      </c>
      <c r="AH42" s="4" t="n">
        <v>93.7</v>
      </c>
      <c r="AI42" s="4" t="n">
        <v>34.1</v>
      </c>
      <c r="AJ42" s="4" t="n">
        <v>8.9</v>
      </c>
      <c r="AK42" s="4" t="n">
        <v>0</v>
      </c>
      <c r="AL42" s="4" t="n">
        <v>0</v>
      </c>
      <c r="AM42" s="4" t="n">
        <v>393</v>
      </c>
      <c r="AN42" s="4" t="n">
        <v>0</v>
      </c>
      <c r="AO42" s="4" t="n">
        <v>0</v>
      </c>
      <c r="AP42" s="4" t="n">
        <v>135</v>
      </c>
      <c r="AQ42" s="4" t="inlineStr">
        <is>
          <t>C_口語体</t>
        </is>
      </c>
    </row>
    <row r="43">
      <c r="A43" s="4" t="inlineStr">
        <is>
          <t>JLIT042</t>
        </is>
      </c>
      <c r="B43" s="4" t="inlineStr">
        <is>
          <t>漱石_こころ.txt</t>
        </is>
      </c>
      <c r="C43" s="4" t="inlineStr">
        <is>
          <t>夏目漱石</t>
        </is>
      </c>
      <c r="D43" s="4" t="inlineStr">
        <is>
          <t>なつめ そうせき</t>
        </is>
      </c>
      <c r="E43" s="4" t="inlineStr">
        <is>
          <t>M</t>
        </is>
      </c>
      <c r="F43" s="4" t="n">
        <v>1867</v>
      </c>
      <c r="G43" s="4" t="n">
        <v>1916</v>
      </c>
      <c r="H43" s="4" t="inlineStr">
        <is>
          <t>こころ</t>
        </is>
      </c>
      <c r="I43" s="4" t="inlineStr">
        <is>
          <t>000148</t>
        </is>
      </c>
      <c r="J43" s="4" t="inlineStr">
        <is>
          <t>773</t>
        </is>
      </c>
      <c r="K43" s="4" t="inlineStr">
        <is>
          <t>https://www.aozora.gr.jp/cards/000148/card773.html</t>
        </is>
      </c>
      <c r="L43" s="4" t="n">
        <v>1914</v>
      </c>
      <c r="M43" s="4" t="n">
        <v>1914</v>
      </c>
      <c r="N43" s="4" t="inlineStr">
        <is>
          <t>card</t>
        </is>
      </c>
      <c r="O43" s="4" t="inlineStr">
        <is>
          <t>4_大正(1912-1925)</t>
        </is>
      </c>
      <c r="P43" s="4" t="inlineStr">
        <is>
          <t>913</t>
        </is>
      </c>
      <c r="Q43" s="4" t="inlineStr">
        <is>
          <t>日本文学／小説・物語</t>
        </is>
      </c>
      <c r="R43" s="4" t="inlineStr">
        <is>
          <t>Fiction</t>
        </is>
      </c>
      <c r="S43" s="4" t="inlineStr">
        <is>
          <t>Modern</t>
        </is>
      </c>
      <c r="T43" s="4" t="inlineStr">
        <is>
          <t>novel</t>
        </is>
      </c>
      <c r="U43" s="4" t="inlineStr">
        <is>
          <t>general</t>
        </is>
      </c>
      <c r="V43" s="4" t="inlineStr">
        <is>
          <t>canonical</t>
        </is>
      </c>
      <c r="W43" s="4" t="inlineStr">
        <is>
          <t>first</t>
        </is>
      </c>
      <c r="X43" s="4" t="inlineStr">
        <is>
          <t>newspaper</t>
        </is>
      </c>
      <c r="Y43" s="4" t="inlineStr">
        <is>
          <t>新字新仮名</t>
        </is>
      </c>
      <c r="Z43" s="4" t="inlineStr">
        <is>
          <t>complete</t>
        </is>
      </c>
      <c r="AA43" s="4" t="inlineStr">
        <is>
          <t>「朝日新聞」1914年4〜8月</t>
        </is>
      </c>
      <c r="AB43" s="4" t="n">
        <v>103604</v>
      </c>
      <c r="AC43" s="4" t="n">
        <v>7040</v>
      </c>
      <c r="AD43" s="4" t="n">
        <v>67.95</v>
      </c>
      <c r="AE43" s="4" t="n">
        <v>0.2775</v>
      </c>
      <c r="AF43" s="4" t="n">
        <v>0.0011</v>
      </c>
      <c r="AG43" s="4" t="n">
        <v>19.4</v>
      </c>
      <c r="AH43" s="4" t="n">
        <v>160.3</v>
      </c>
      <c r="AI43" s="4" t="n">
        <v>285.7</v>
      </c>
      <c r="AJ43" s="4" t="n">
        <v>30.3</v>
      </c>
      <c r="AK43" s="4" t="n">
        <v>0</v>
      </c>
      <c r="AL43" s="4" t="n">
        <v>0</v>
      </c>
      <c r="AM43" s="4" t="n">
        <v>173</v>
      </c>
      <c r="AN43" s="4" t="n">
        <v>0</v>
      </c>
      <c r="AO43" s="4" t="n">
        <v>411</v>
      </c>
      <c r="AP43" s="4" t="n">
        <v>0</v>
      </c>
      <c r="AQ43" s="4" t="inlineStr">
        <is>
          <t>C_口語体</t>
        </is>
      </c>
    </row>
    <row r="44">
      <c r="A44" s="4" t="inlineStr">
        <is>
          <t>JLIT043</t>
        </is>
      </c>
      <c r="B44" s="4" t="inlineStr">
        <is>
          <t>漱石_三四郎.txt</t>
        </is>
      </c>
      <c r="C44" s="4" t="inlineStr">
        <is>
          <t>夏目漱石</t>
        </is>
      </c>
      <c r="D44" s="4" t="inlineStr">
        <is>
          <t>なつめ そうせき</t>
        </is>
      </c>
      <c r="E44" s="4" t="inlineStr">
        <is>
          <t>M</t>
        </is>
      </c>
      <c r="F44" s="4" t="n">
        <v>1867</v>
      </c>
      <c r="G44" s="4" t="n">
        <v>1916</v>
      </c>
      <c r="H44" s="4" t="inlineStr">
        <is>
          <t>三四郎</t>
        </is>
      </c>
      <c r="I44" s="4" t="inlineStr">
        <is>
          <t>000148</t>
        </is>
      </c>
      <c r="J44" s="4" t="inlineStr">
        <is>
          <t>794</t>
        </is>
      </c>
      <c r="K44" s="4" t="inlineStr">
        <is>
          <t>https://www.aozora.gr.jp/cards/000148/card794.html</t>
        </is>
      </c>
      <c r="L44" s="4" t="n">
        <v>1908</v>
      </c>
      <c r="M44" s="4" t="n">
        <v>1908</v>
      </c>
      <c r="N44" s="4" t="inlineStr">
        <is>
          <t>card</t>
        </is>
      </c>
      <c r="O44" s="4" t="inlineStr">
        <is>
          <t>3_明治後期(1900-1911)</t>
        </is>
      </c>
      <c r="P44" s="4" t="inlineStr">
        <is>
          <t>913</t>
        </is>
      </c>
      <c r="Q44" s="4" t="inlineStr">
        <is>
          <t>日本文学／小説・物語</t>
        </is>
      </c>
      <c r="R44" s="4" t="inlineStr">
        <is>
          <t>Fiction</t>
        </is>
      </c>
      <c r="S44" s="4" t="inlineStr">
        <is>
          <t>Bildungsroman</t>
        </is>
      </c>
      <c r="T44" s="4" t="inlineStr">
        <is>
          <t>novel</t>
        </is>
      </c>
      <c r="U44" s="4" t="inlineStr">
        <is>
          <t>general</t>
        </is>
      </c>
      <c r="V44" s="4" t="inlineStr">
        <is>
          <t>canonical</t>
        </is>
      </c>
      <c r="W44" s="4" t="inlineStr">
        <is>
          <t>third</t>
        </is>
      </c>
      <c r="X44" s="4" t="inlineStr">
        <is>
          <t>newspaper</t>
        </is>
      </c>
      <c r="Y44" s="4" t="inlineStr">
        <is>
          <t>新字新仮名</t>
        </is>
      </c>
      <c r="Z44" s="4" t="inlineStr">
        <is>
          <t>complete</t>
        </is>
      </c>
      <c r="AA44" s="4" t="inlineStr">
        <is>
          <t>「朝日新聞」1908年9月1日〜12月29日</t>
        </is>
      </c>
      <c r="AB44" s="4" t="n">
        <v>103792</v>
      </c>
      <c r="AC44" s="4" t="n">
        <v>7500</v>
      </c>
      <c r="AD44" s="4" t="n">
        <v>72.26000000000001</v>
      </c>
      <c r="AE44" s="4" t="n">
        <v>0.2623</v>
      </c>
      <c r="AF44" s="4" t="n">
        <v>0.009299999999999999</v>
      </c>
      <c r="AG44" s="4" t="n">
        <v>13</v>
      </c>
      <c r="AH44" s="4" t="n">
        <v>67</v>
      </c>
      <c r="AI44" s="4" t="n">
        <v>20.8</v>
      </c>
      <c r="AJ44" s="4" t="n">
        <v>0.9</v>
      </c>
      <c r="AK44" s="4" t="n">
        <v>0</v>
      </c>
      <c r="AL44" s="4" t="n">
        <v>0</v>
      </c>
      <c r="AM44" s="4" t="n">
        <v>352</v>
      </c>
      <c r="AN44" s="4" t="n">
        <v>0</v>
      </c>
      <c r="AO44" s="4" t="n">
        <v>179</v>
      </c>
      <c r="AP44" s="4" t="n">
        <v>16</v>
      </c>
      <c r="AQ44" s="4" t="inlineStr">
        <is>
          <t>C_口語体</t>
        </is>
      </c>
    </row>
    <row r="45">
      <c r="A45" s="4" t="inlineStr">
        <is>
          <t>JLIT044</t>
        </is>
      </c>
      <c r="B45" s="4" t="inlineStr">
        <is>
          <t>漱石_坊っちゃん.txt</t>
        </is>
      </c>
      <c r="C45" s="4" t="inlineStr">
        <is>
          <t>夏目漱石</t>
        </is>
      </c>
      <c r="D45" s="4" t="inlineStr">
        <is>
          <t>なつめ そうせき</t>
        </is>
      </c>
      <c r="E45" s="4" t="inlineStr">
        <is>
          <t>M</t>
        </is>
      </c>
      <c r="F45" s="4" t="n">
        <v>1867</v>
      </c>
      <c r="G45" s="4" t="n">
        <v>1916</v>
      </c>
      <c r="H45" s="4" t="inlineStr">
        <is>
          <t>坊っちゃん</t>
        </is>
      </c>
      <c r="I45" s="4" t="inlineStr">
        <is>
          <t>000148</t>
        </is>
      </c>
      <c r="J45" s="4" t="inlineStr">
        <is>
          <t>752</t>
        </is>
      </c>
      <c r="K45" s="4" t="inlineStr">
        <is>
          <t>https://www.aozora.gr.jp/cards/000148/card752.html</t>
        </is>
      </c>
      <c r="L45" s="4" t="n">
        <v>1906</v>
      </c>
      <c r="M45" s="4" t="n">
        <v>1906</v>
      </c>
      <c r="N45" s="4" t="inlineStr">
        <is>
          <t>card</t>
        </is>
      </c>
      <c r="O45" s="4" t="inlineStr">
        <is>
          <t>3_明治後期(1900-1911)</t>
        </is>
      </c>
      <c r="P45" s="4" t="inlineStr">
        <is>
          <t>913</t>
        </is>
      </c>
      <c r="Q45" s="4" t="inlineStr">
        <is>
          <t>日本文学／小説・物語</t>
        </is>
      </c>
      <c r="R45" s="4" t="inlineStr">
        <is>
          <t>Fiction</t>
        </is>
      </c>
      <c r="S45" s="4" t="inlineStr">
        <is>
          <t>Modern</t>
        </is>
      </c>
      <c r="T45" s="4" t="inlineStr">
        <is>
          <t>novella</t>
        </is>
      </c>
      <c r="U45" s="4" t="inlineStr">
        <is>
          <t>general</t>
        </is>
      </c>
      <c r="V45" s="4" t="inlineStr">
        <is>
          <t>canonical</t>
        </is>
      </c>
      <c r="W45" s="4" t="inlineStr">
        <is>
          <t>first</t>
        </is>
      </c>
      <c r="X45" s="4" t="inlineStr">
        <is>
          <t>magazine</t>
        </is>
      </c>
      <c r="Y45" s="4" t="inlineStr">
        <is>
          <t>新字新仮名</t>
        </is>
      </c>
      <c r="Z45" s="4" t="inlineStr">
        <is>
          <t>complete</t>
        </is>
      </c>
      <c r="AA45" s="4" t="inlineStr">
        <is>
          <t>「ホトトギス」1906年4月</t>
        </is>
      </c>
      <c r="AB45" s="4" t="n">
        <v>55672</v>
      </c>
      <c r="AC45" s="4" t="n">
        <v>5861</v>
      </c>
      <c r="AD45" s="4" t="n">
        <v>105.28</v>
      </c>
      <c r="AE45" s="4" t="n">
        <v>0.2823</v>
      </c>
      <c r="AF45" s="4" t="n">
        <v>0.0123</v>
      </c>
      <c r="AG45" s="4" t="n">
        <v>13.7</v>
      </c>
      <c r="AH45" s="4" t="n">
        <v>81</v>
      </c>
      <c r="AI45" s="4" t="n">
        <v>108.5</v>
      </c>
      <c r="AJ45" s="4" t="n">
        <v>0.2</v>
      </c>
      <c r="AK45" s="4" t="n">
        <v>0</v>
      </c>
      <c r="AL45" s="4" t="n">
        <v>0</v>
      </c>
      <c r="AM45" s="4" t="n">
        <v>82</v>
      </c>
      <c r="AN45" s="4" t="n">
        <v>0</v>
      </c>
      <c r="AO45" s="4" t="n">
        <v>27</v>
      </c>
      <c r="AP45" s="4" t="n">
        <v>0</v>
      </c>
      <c r="AQ45" s="4" t="inlineStr">
        <is>
          <t>C_口語体</t>
        </is>
      </c>
    </row>
    <row r="46">
      <c r="A46" s="4" t="inlineStr">
        <is>
          <t>JLIT045</t>
        </is>
      </c>
      <c r="B46" s="4" t="inlineStr">
        <is>
          <t>漱石_草枕.txt</t>
        </is>
      </c>
      <c r="C46" s="4" t="inlineStr">
        <is>
          <t>夏目漱石</t>
        </is>
      </c>
      <c r="D46" s="4" t="inlineStr">
        <is>
          <t>なつめ そうせき</t>
        </is>
      </c>
      <c r="E46" s="4" t="inlineStr">
        <is>
          <t>M</t>
        </is>
      </c>
      <c r="F46" s="4" t="n">
        <v>1867</v>
      </c>
      <c r="G46" s="4" t="n">
        <v>1916</v>
      </c>
      <c r="H46" s="4" t="inlineStr">
        <is>
          <t>草枕</t>
        </is>
      </c>
      <c r="I46" s="4" t="inlineStr">
        <is>
          <t>000148</t>
        </is>
      </c>
      <c r="J46" s="4" t="inlineStr">
        <is>
          <t>776</t>
        </is>
      </c>
      <c r="K46" s="4" t="inlineStr">
        <is>
          <t>https://www.aozora.gr.jp/cards/000148/card776.html</t>
        </is>
      </c>
      <c r="L46" s="4" t="n">
        <v>1906</v>
      </c>
      <c r="M46" s="4" t="n">
        <v>1906</v>
      </c>
      <c r="N46" s="4" t="inlineStr">
        <is>
          <t>card</t>
        </is>
      </c>
      <c r="O46" s="4" t="inlineStr">
        <is>
          <t>3_明治後期(1900-1911)</t>
        </is>
      </c>
      <c r="P46" s="4" t="inlineStr">
        <is>
          <t>913</t>
        </is>
      </c>
      <c r="Q46" s="4" t="inlineStr">
        <is>
          <t>日本文学／小説・物語</t>
        </is>
      </c>
      <c r="R46" s="4" t="inlineStr">
        <is>
          <t>Fiction</t>
        </is>
      </c>
      <c r="S46" s="4" t="inlineStr">
        <is>
          <t>Aesthetic</t>
        </is>
      </c>
      <c r="T46" s="4" t="inlineStr">
        <is>
          <t>novella</t>
        </is>
      </c>
      <c r="U46" s="4" t="inlineStr">
        <is>
          <t>general</t>
        </is>
      </c>
      <c r="V46" s="4" t="inlineStr">
        <is>
          <t>canonical</t>
        </is>
      </c>
      <c r="W46" s="4" t="inlineStr">
        <is>
          <t>first</t>
        </is>
      </c>
      <c r="X46" s="4" t="inlineStr">
        <is>
          <t>magazine</t>
        </is>
      </c>
      <c r="Y46" s="4" t="inlineStr">
        <is>
          <t>新字新仮名</t>
        </is>
      </c>
      <c r="Z46" s="4" t="inlineStr">
        <is>
          <t>complete</t>
        </is>
      </c>
      <c r="AA46" s="4" t="inlineStr">
        <is>
          <t>「新小説」1906年9月。漢文脈が濃い</t>
        </is>
      </c>
      <c r="AB46" s="4" t="n">
        <v>54857</v>
      </c>
      <c r="AC46" s="4" t="n">
        <v>7230</v>
      </c>
      <c r="AD46" s="4" t="n">
        <v>131.8</v>
      </c>
      <c r="AE46" s="4" t="n">
        <v>0.3006</v>
      </c>
      <c r="AF46" s="4" t="n">
        <v>0.0052</v>
      </c>
      <c r="AG46" s="4" t="n">
        <v>35.7</v>
      </c>
      <c r="AH46" s="4" t="n">
        <v>70.7</v>
      </c>
      <c r="AI46" s="4" t="n">
        <v>15.5</v>
      </c>
      <c r="AJ46" s="4" t="n">
        <v>4.6</v>
      </c>
      <c r="AK46" s="4" t="n">
        <v>0</v>
      </c>
      <c r="AL46" s="4" t="n">
        <v>0</v>
      </c>
      <c r="AM46" s="4" t="n">
        <v>78</v>
      </c>
      <c r="AN46" s="4" t="n">
        <v>0</v>
      </c>
      <c r="AO46" s="4" t="n">
        <v>291</v>
      </c>
      <c r="AP46" s="4" t="n">
        <v>0</v>
      </c>
      <c r="AQ46" s="4" t="inlineStr">
        <is>
          <t>C_口語体</t>
        </is>
      </c>
    </row>
    <row r="47">
      <c r="A47" s="4" t="inlineStr">
        <is>
          <t>JLIT046</t>
        </is>
      </c>
      <c r="B47" s="4" t="inlineStr">
        <is>
          <t>福翁_学問.txt</t>
        </is>
      </c>
      <c r="C47" s="4" t="inlineStr">
        <is>
          <t>福沢諭吉</t>
        </is>
      </c>
      <c r="D47" s="4" t="inlineStr">
        <is>
          <t>ふくざわ ゆきち</t>
        </is>
      </c>
      <c r="E47" s="4" t="inlineStr">
        <is>
          <t>M</t>
        </is>
      </c>
      <c r="F47" s="4" t="n">
        <v>1835</v>
      </c>
      <c r="G47" s="4" t="n">
        <v>1901</v>
      </c>
      <c r="H47" s="4" t="inlineStr">
        <is>
          <t>学問のすすめ</t>
        </is>
      </c>
      <c r="I47" s="4" t="inlineStr">
        <is>
          <t>000296</t>
        </is>
      </c>
      <c r="J47" s="4" t="inlineStr">
        <is>
          <t>47061</t>
        </is>
      </c>
      <c r="K47" s="4" t="inlineStr">
        <is>
          <t>https://www.aozora.gr.jp/cards/000296/card47061.html</t>
        </is>
      </c>
      <c r="L47" s="4" t="n">
        <v>1872</v>
      </c>
      <c r="M47" s="4" t="n">
        <v>1876</v>
      </c>
      <c r="N47" s="4" t="inlineStr">
        <is>
          <t>card</t>
        </is>
      </c>
      <c r="O47" s="4" t="inlineStr">
        <is>
          <t>1_明治前期(〜1886)</t>
        </is>
      </c>
      <c r="P47" s="4" t="inlineStr">
        <is>
          <t>370</t>
        </is>
      </c>
      <c r="Q47" s="4" t="inlineStr">
        <is>
          <t>教育（総記）</t>
        </is>
      </c>
      <c r="R47" s="4" t="inlineStr">
        <is>
          <t>Nonfiction</t>
        </is>
      </c>
      <c r="S47" s="4" t="inlineStr">
        <is>
          <t>Enlightenment-Didactic</t>
        </is>
      </c>
      <c r="T47" s="4" t="inlineStr">
        <is>
          <t>treatise</t>
        </is>
      </c>
      <c r="U47" s="4" t="inlineStr">
        <is>
          <t>general</t>
        </is>
      </c>
      <c r="V47" s="4" t="inlineStr">
        <is>
          <t>canonical</t>
        </is>
      </c>
      <c r="W47" s="4" t="inlineStr">
        <is>
          <t>none</t>
        </is>
      </c>
      <c r="X47" s="4" t="inlineStr">
        <is>
          <t>book</t>
        </is>
      </c>
      <c r="Y47" s="4" t="inlineStr">
        <is>
          <t>新字新仮名</t>
        </is>
      </c>
      <c r="Z47" s="4" t="inlineStr">
        <is>
          <t>complete</t>
        </is>
      </c>
      <c r="AA47" s="4" t="inlineStr">
        <is>
          <t>初編1872年、全17編1876年完結。文語標識407.3/万語 ＝ 本コーパス中最も文語的</t>
        </is>
      </c>
      <c r="AB47" s="4" t="n">
        <v>54035</v>
      </c>
      <c r="AC47" s="4" t="n">
        <v>5348</v>
      </c>
      <c r="AD47" s="4" t="n">
        <v>98.97</v>
      </c>
      <c r="AE47" s="4" t="n">
        <v>0.3306</v>
      </c>
      <c r="AF47" s="4" t="n">
        <v>0.0053</v>
      </c>
      <c r="AG47" s="4" t="n">
        <v>407.3</v>
      </c>
      <c r="AH47" s="4" t="n">
        <v>0.2</v>
      </c>
      <c r="AI47" s="4" t="n">
        <v>15.9</v>
      </c>
      <c r="AJ47" s="4" t="n">
        <v>3</v>
      </c>
      <c r="AK47" s="4" t="n">
        <v>0</v>
      </c>
      <c r="AL47" s="4" t="n">
        <v>0</v>
      </c>
      <c r="AM47" s="4" t="n">
        <v>63</v>
      </c>
      <c r="AN47" s="4" t="n">
        <v>0</v>
      </c>
      <c r="AO47" s="4" t="n">
        <v>5</v>
      </c>
      <c r="AP47" s="4" t="n">
        <v>0</v>
      </c>
      <c r="AQ47" s="4" t="inlineStr">
        <is>
          <t>A_文語体</t>
        </is>
      </c>
    </row>
    <row r="48">
      <c r="A48" s="4" t="inlineStr">
        <is>
          <t>JLIT047</t>
        </is>
      </c>
      <c r="B48" s="4" t="inlineStr">
        <is>
          <t>福翁_自伝.txt</t>
        </is>
      </c>
      <c r="C48" s="4" t="inlineStr">
        <is>
          <t>福沢諭吉</t>
        </is>
      </c>
      <c r="D48" s="4" t="inlineStr">
        <is>
          <t>ふくざわ ゆきち</t>
        </is>
      </c>
      <c r="E48" s="4" t="inlineStr">
        <is>
          <t>M</t>
        </is>
      </c>
      <c r="F48" s="4" t="n">
        <v>1835</v>
      </c>
      <c r="G48" s="4" t="n">
        <v>1901</v>
      </c>
      <c r="H48" s="4" t="inlineStr">
        <is>
          <t>福翁自伝</t>
        </is>
      </c>
      <c r="I48" s="4" t="inlineStr">
        <is>
          <t>000296</t>
        </is>
      </c>
      <c r="J48" s="4" t="inlineStr">
        <is>
          <t>1864</t>
        </is>
      </c>
      <c r="K48" s="4" t="inlineStr">
        <is>
          <t>https://www.aozora.gr.jp/cards/000296/card1864.html</t>
        </is>
      </c>
      <c r="L48" s="4" t="n">
        <v>1898</v>
      </c>
      <c r="M48" s="4" t="n">
        <v>1899</v>
      </c>
      <c r="N48" s="4" t="inlineStr">
        <is>
          <t>card</t>
        </is>
      </c>
      <c r="O48" s="4" t="inlineStr">
        <is>
          <t>2_明治中期(1887-1899)</t>
        </is>
      </c>
      <c r="P48" s="4" t="inlineStr">
        <is>
          <t>289</t>
        </is>
      </c>
      <c r="Q48" s="4" t="inlineStr">
        <is>
          <t>伝記／個人伝記</t>
        </is>
      </c>
      <c r="R48" s="4" t="inlineStr">
        <is>
          <t>Nonfiction</t>
        </is>
      </c>
      <c r="S48" s="4" t="inlineStr">
        <is>
          <t>Autobiography</t>
        </is>
      </c>
      <c r="T48" s="4" t="inlineStr">
        <is>
          <t>autobiography</t>
        </is>
      </c>
      <c r="U48" s="4" t="inlineStr">
        <is>
          <t>general</t>
        </is>
      </c>
      <c r="V48" s="4" t="inlineStr">
        <is>
          <t>canonical</t>
        </is>
      </c>
      <c r="W48" s="4" t="inlineStr">
        <is>
          <t>first</t>
        </is>
      </c>
      <c r="X48" s="4" t="inlineStr">
        <is>
          <t>newspaper</t>
        </is>
      </c>
      <c r="Y48" s="4" t="inlineStr">
        <is>
          <t>新字新仮名</t>
        </is>
      </c>
      <c r="Z48" s="4" t="inlineStr">
        <is>
          <t>complete</t>
        </is>
      </c>
      <c r="AA48" s="4" t="inlineStr">
        <is>
          <t>「時事新報」1898年7月〜1899年2月。口述筆記による言文一致の早期例</t>
        </is>
      </c>
      <c r="AB48" s="4" t="n">
        <v>142443</v>
      </c>
      <c r="AC48" s="4" t="n">
        <v>10429</v>
      </c>
      <c r="AD48" s="4" t="n">
        <v>73.22</v>
      </c>
      <c r="AE48" s="4" t="n">
        <v>0.4105</v>
      </c>
      <c r="AF48" s="4" t="n">
        <v>0.0216</v>
      </c>
      <c r="AG48" s="4" t="n">
        <v>27.2</v>
      </c>
      <c r="AH48" s="4" t="n">
        <v>25.5</v>
      </c>
      <c r="AI48" s="4" t="n">
        <v>94.7</v>
      </c>
      <c r="AJ48" s="4" t="n">
        <v>4.6</v>
      </c>
      <c r="AK48" s="5" t="n">
        <v>7</v>
      </c>
      <c r="AL48" s="4" t="n">
        <v>4</v>
      </c>
      <c r="AM48" s="4" t="n">
        <v>505</v>
      </c>
      <c r="AN48" s="4" t="n">
        <v>0</v>
      </c>
      <c r="AO48" s="4" t="n">
        <v>9</v>
      </c>
      <c r="AP48" s="4" t="n">
        <v>0</v>
      </c>
      <c r="AQ48" s="4" t="inlineStr">
        <is>
          <t>C_口語体</t>
        </is>
      </c>
    </row>
    <row r="49">
      <c r="A49" s="4" t="inlineStr">
        <is>
          <t>JLIT048</t>
        </is>
      </c>
      <c r="B49" s="4" t="inlineStr">
        <is>
          <t>綺堂_両国の秋.txt</t>
        </is>
      </c>
      <c r="C49" s="4" t="inlineStr">
        <is>
          <t>岡本綺堂</t>
        </is>
      </c>
      <c r="D49" s="4" t="inlineStr">
        <is>
          <t>おかもと きどう</t>
        </is>
      </c>
      <c r="E49" s="4" t="inlineStr">
        <is>
          <t>M</t>
        </is>
      </c>
      <c r="F49" s="4" t="n">
        <v>1872</v>
      </c>
      <c r="G49" s="4" t="n">
        <v>1939</v>
      </c>
      <c r="H49" s="4" t="inlineStr">
        <is>
          <t>両国の秋</t>
        </is>
      </c>
      <c r="I49" s="4" t="inlineStr">
        <is>
          <t>000082</t>
        </is>
      </c>
      <c r="J49" s="4" t="inlineStr">
        <is>
          <t>478</t>
        </is>
      </c>
      <c r="K49" s="4" t="inlineStr">
        <is>
          <t>https://www.aozora.gr.jp/cards/000082/card478.html</t>
        </is>
      </c>
      <c r="L49" s="5" t="n">
        <v>1916</v>
      </c>
      <c r="M49" s="4" t="n">
        <v>1916</v>
      </c>
      <c r="N49" s="5" t="inlineStr">
        <is>
          <t>editor</t>
        </is>
      </c>
      <c r="O49" s="4" t="inlineStr">
        <is>
          <t>4_大正(1912-1925)</t>
        </is>
      </c>
      <c r="P49" s="4" t="inlineStr">
        <is>
          <t>913</t>
        </is>
      </c>
      <c r="Q49" s="4" t="inlineStr">
        <is>
          <t>日本文学／小説・物語</t>
        </is>
      </c>
      <c r="R49" s="4" t="inlineStr">
        <is>
          <t>Fiction</t>
        </is>
      </c>
      <c r="S49" s="4" t="inlineStr">
        <is>
          <t>Ghost-Story</t>
        </is>
      </c>
      <c r="T49" s="4" t="inlineStr">
        <is>
          <t>short-story</t>
        </is>
      </c>
      <c r="U49" s="4" t="inlineStr">
        <is>
          <t>general</t>
        </is>
      </c>
      <c r="V49" s="4" t="inlineStr">
        <is>
          <t>popular</t>
        </is>
      </c>
      <c r="W49" s="4" t="inlineStr">
        <is>
          <t>third</t>
        </is>
      </c>
      <c r="X49" s="4" t="inlineStr">
        <is>
          <t>magazine</t>
        </is>
      </c>
      <c r="Y49" s="4" t="inlineStr">
        <is>
          <t>新字新仮名</t>
        </is>
      </c>
      <c r="Z49" s="4" t="inlineStr">
        <is>
          <t>complete</t>
        </is>
      </c>
      <c r="AA49" s="4" t="inlineStr">
        <is>
          <t>カードに初出欄なし。v1 の1916を暫定的に維持、要確認</t>
        </is>
      </c>
      <c r="AB49" s="4" t="n">
        <v>36707</v>
      </c>
      <c r="AC49" s="4" t="n">
        <v>4368</v>
      </c>
      <c r="AD49" s="4" t="n">
        <v>119</v>
      </c>
      <c r="AE49" s="4" t="n">
        <v>0.2563</v>
      </c>
      <c r="AF49" s="4" t="n">
        <v>0.0002</v>
      </c>
      <c r="AG49" s="4" t="n">
        <v>5.7</v>
      </c>
      <c r="AH49" s="4" t="n">
        <v>34.6</v>
      </c>
      <c r="AI49" s="4" t="n">
        <v>61</v>
      </c>
      <c r="AJ49" s="4" t="n">
        <v>67</v>
      </c>
      <c r="AK49" s="4" t="n">
        <v>0</v>
      </c>
      <c r="AL49" s="4" t="n">
        <v>0</v>
      </c>
      <c r="AM49" s="4" t="n">
        <v>20</v>
      </c>
      <c r="AN49" s="4" t="n">
        <v>0</v>
      </c>
      <c r="AO49" s="4" t="n">
        <v>0</v>
      </c>
      <c r="AP49" s="4" t="n">
        <v>0</v>
      </c>
      <c r="AQ49" s="4" t="inlineStr">
        <is>
          <t>C_口語体</t>
        </is>
      </c>
    </row>
    <row r="50">
      <c r="A50" s="4" t="inlineStr">
        <is>
          <t>JLIT049</t>
        </is>
      </c>
      <c r="B50" s="4" t="inlineStr">
        <is>
          <t>綺堂_半七捕物帳.txt</t>
        </is>
      </c>
      <c r="C50" s="4" t="inlineStr">
        <is>
          <t>岡本綺堂</t>
        </is>
      </c>
      <c r="D50" s="4" t="inlineStr">
        <is>
          <t>おかもと きどう</t>
        </is>
      </c>
      <c r="E50" s="4" t="inlineStr">
        <is>
          <t>M</t>
        </is>
      </c>
      <c r="F50" s="4" t="n">
        <v>1872</v>
      </c>
      <c r="G50" s="4" t="n">
        <v>1939</v>
      </c>
      <c r="H50" s="4" t="inlineStr">
        <is>
          <t>半七捕物帳 69 白蝶怪</t>
        </is>
      </c>
      <c r="I50" s="4" t="inlineStr">
        <is>
          <t>000082</t>
        </is>
      </c>
      <c r="J50" s="4" t="inlineStr">
        <is>
          <t>964</t>
        </is>
      </c>
      <c r="K50" s="4" t="inlineStr">
        <is>
          <t>https://www.aozora.gr.jp/cards/000082/card964.html</t>
        </is>
      </c>
      <c r="L50" s="5" t="n">
        <v>1936</v>
      </c>
      <c r="M50" s="4" t="n">
        <v>1936</v>
      </c>
      <c r="N50" s="5" t="inlineStr">
        <is>
          <t>editor</t>
        </is>
      </c>
      <c r="O50" s="4" t="inlineStr">
        <is>
          <t>5_昭和戦前(1926-1944)</t>
        </is>
      </c>
      <c r="P50" s="4" t="inlineStr">
        <is>
          <t>913</t>
        </is>
      </c>
      <c r="Q50" s="4" t="inlineStr">
        <is>
          <t>日本文学／小説・物語</t>
        </is>
      </c>
      <c r="R50" s="4" t="inlineStr">
        <is>
          <t>Fiction</t>
        </is>
      </c>
      <c r="S50" s="4" t="inlineStr">
        <is>
          <t>Detective-Edo</t>
        </is>
      </c>
      <c r="T50" s="4" t="inlineStr">
        <is>
          <t>short-story</t>
        </is>
      </c>
      <c r="U50" s="4" t="inlineStr">
        <is>
          <t>general</t>
        </is>
      </c>
      <c r="V50" s="4" t="inlineStr">
        <is>
          <t>popular</t>
        </is>
      </c>
      <c r="W50" s="4" t="inlineStr">
        <is>
          <t>first</t>
        </is>
      </c>
      <c r="X50" s="4" t="inlineStr">
        <is>
          <t>magazine</t>
        </is>
      </c>
      <c r="Y50" s="4" t="inlineStr">
        <is>
          <t>新字新仮名</t>
        </is>
      </c>
      <c r="Z50" s="4" t="inlineStr">
        <is>
          <t>complete</t>
        </is>
      </c>
      <c r="AA50" s="4" t="inlineStr">
        <is>
          <t>【修正】シリーズ第69話。v1 の1917はシリーズ開始年。白蝶怪は後期作。要確認</t>
        </is>
      </c>
      <c r="AB50" s="4" t="n">
        <v>49248</v>
      </c>
      <c r="AC50" s="4" t="n">
        <v>4459</v>
      </c>
      <c r="AD50" s="4" t="n">
        <v>90.54000000000001</v>
      </c>
      <c r="AE50" s="4" t="n">
        <v>0.2815</v>
      </c>
      <c r="AF50" s="4" t="n">
        <v>0.0003</v>
      </c>
      <c r="AG50" s="4" t="n">
        <v>8.300000000000001</v>
      </c>
      <c r="AH50" s="4" t="n">
        <v>57.1</v>
      </c>
      <c r="AI50" s="4" t="n">
        <v>39.8</v>
      </c>
      <c r="AJ50" s="4" t="n">
        <v>37.4</v>
      </c>
      <c r="AK50" s="4" t="n">
        <v>0</v>
      </c>
      <c r="AL50" s="4" t="n">
        <v>0</v>
      </c>
      <c r="AM50" s="4" t="n">
        <v>132</v>
      </c>
      <c r="AN50" s="4" t="n">
        <v>0</v>
      </c>
      <c r="AO50" s="4" t="n">
        <v>0</v>
      </c>
      <c r="AP50" s="4" t="n">
        <v>0</v>
      </c>
      <c r="AQ50" s="4" t="inlineStr">
        <is>
          <t>C_口語体</t>
        </is>
      </c>
    </row>
    <row r="51">
      <c r="A51" s="4" t="inlineStr">
        <is>
          <t>JLIT050</t>
        </is>
      </c>
      <c r="B51" s="4" t="inlineStr">
        <is>
          <t>綺堂_玉藻の前.txt</t>
        </is>
      </c>
      <c r="C51" s="4" t="inlineStr">
        <is>
          <t>岡本綺堂</t>
        </is>
      </c>
      <c r="D51" s="4" t="inlineStr">
        <is>
          <t>おかもと きどう</t>
        </is>
      </c>
      <c r="E51" s="4" t="inlineStr">
        <is>
          <t>M</t>
        </is>
      </c>
      <c r="F51" s="4" t="n">
        <v>1872</v>
      </c>
      <c r="G51" s="4" t="n">
        <v>1939</v>
      </c>
      <c r="H51" s="4" t="inlineStr">
        <is>
          <t>玉藻の前</t>
        </is>
      </c>
      <c r="I51" s="4" t="inlineStr">
        <is>
          <t>000082</t>
        </is>
      </c>
      <c r="J51" s="4" t="inlineStr">
        <is>
          <t>480</t>
        </is>
      </c>
      <c r="K51" s="4" t="inlineStr">
        <is>
          <t>https://www.aozora.gr.jp/cards/000082/card480.html</t>
        </is>
      </c>
      <c r="L51" s="5" t="n">
        <v>1917</v>
      </c>
      <c r="M51" s="4" t="n">
        <v>1918</v>
      </c>
      <c r="N51" s="5" t="inlineStr">
        <is>
          <t>editor</t>
        </is>
      </c>
      <c r="O51" s="4" t="inlineStr">
        <is>
          <t>4_大正(1912-1925)</t>
        </is>
      </c>
      <c r="P51" s="4" t="inlineStr">
        <is>
          <t>913</t>
        </is>
      </c>
      <c r="Q51" s="4" t="inlineStr">
        <is>
          <t>日本文学／小説・物語</t>
        </is>
      </c>
      <c r="R51" s="4" t="inlineStr">
        <is>
          <t>Fiction</t>
        </is>
      </c>
      <c r="S51" s="4" t="inlineStr">
        <is>
          <t>Historical-Fantasy</t>
        </is>
      </c>
      <c r="T51" s="4" t="inlineStr">
        <is>
          <t>novel</t>
        </is>
      </c>
      <c r="U51" s="4" t="inlineStr">
        <is>
          <t>general</t>
        </is>
      </c>
      <c r="V51" s="4" t="inlineStr">
        <is>
          <t>popular</t>
        </is>
      </c>
      <c r="W51" s="4" t="inlineStr">
        <is>
          <t>third</t>
        </is>
      </c>
      <c r="X51" s="4" t="inlineStr">
        <is>
          <t>newspaper</t>
        </is>
      </c>
      <c r="Y51" s="4" t="inlineStr">
        <is>
          <t>新字新仮名</t>
        </is>
      </c>
      <c r="Z51" s="4" t="inlineStr">
        <is>
          <t>complete</t>
        </is>
      </c>
      <c r="AA51" s="4" t="inlineStr">
        <is>
          <t>カードに初出欄なし</t>
        </is>
      </c>
      <c r="AB51" s="4" t="n">
        <v>82938</v>
      </c>
      <c r="AC51" s="4" t="n">
        <v>7759</v>
      </c>
      <c r="AD51" s="4" t="n">
        <v>93.55</v>
      </c>
      <c r="AE51" s="4" t="n">
        <v>0.2825</v>
      </c>
      <c r="AF51" s="4" t="n">
        <v>0.0001</v>
      </c>
      <c r="AG51" s="4" t="n">
        <v>17.4</v>
      </c>
      <c r="AH51" s="4" t="n">
        <v>57.2</v>
      </c>
      <c r="AI51" s="4" t="n">
        <v>39.3</v>
      </c>
      <c r="AJ51" s="4" t="n">
        <v>91.40000000000001</v>
      </c>
      <c r="AK51" s="4" t="n">
        <v>0</v>
      </c>
      <c r="AL51" s="4" t="n">
        <v>0</v>
      </c>
      <c r="AM51" s="4" t="n">
        <v>61</v>
      </c>
      <c r="AN51" s="4" t="n">
        <v>0</v>
      </c>
      <c r="AO51" s="4" t="n">
        <v>0</v>
      </c>
      <c r="AP51" s="4" t="n">
        <v>0</v>
      </c>
      <c r="AQ51" s="4" t="inlineStr">
        <is>
          <t>C_口語体</t>
        </is>
      </c>
    </row>
    <row r="52">
      <c r="A52" s="4" t="inlineStr">
        <is>
          <t>JLIT051</t>
        </is>
      </c>
      <c r="B52" s="4" t="inlineStr">
        <is>
          <t>綺堂_青蛙堂鬼談.txt</t>
        </is>
      </c>
      <c r="C52" s="4" t="inlineStr">
        <is>
          <t>岡本綺堂</t>
        </is>
      </c>
      <c r="D52" s="4" t="inlineStr">
        <is>
          <t>おかもと きどう</t>
        </is>
      </c>
      <c r="E52" s="4" t="inlineStr">
        <is>
          <t>M</t>
        </is>
      </c>
      <c r="F52" s="4" t="n">
        <v>1872</v>
      </c>
      <c r="G52" s="4" t="n">
        <v>1939</v>
      </c>
      <c r="H52" s="4" t="inlineStr">
        <is>
          <t>青蛙堂鬼談</t>
        </is>
      </c>
      <c r="I52" s="4" t="inlineStr">
        <is>
          <t>000082</t>
        </is>
      </c>
      <c r="J52" s="4" t="inlineStr">
        <is>
          <t>1307</t>
        </is>
      </c>
      <c r="K52" s="4" t="inlineStr">
        <is>
          <t>https://www.aozora.gr.jp/cards/000082/card1307.html</t>
        </is>
      </c>
      <c r="L52" s="5" t="n">
        <v>1926</v>
      </c>
      <c r="M52" s="4" t="n">
        <v>1926</v>
      </c>
      <c r="N52" s="5" t="inlineStr">
        <is>
          <t>editor</t>
        </is>
      </c>
      <c r="O52" s="4" t="inlineStr">
        <is>
          <t>5_昭和戦前(1926-1944)</t>
        </is>
      </c>
      <c r="P52" s="4" t="inlineStr">
        <is>
          <t>913</t>
        </is>
      </c>
      <c r="Q52" s="4" t="inlineStr">
        <is>
          <t>日本文学／小説・物語</t>
        </is>
      </c>
      <c r="R52" s="4" t="inlineStr">
        <is>
          <t>Fiction</t>
        </is>
      </c>
      <c r="S52" s="4" t="inlineStr">
        <is>
          <t>Ghost-Story</t>
        </is>
      </c>
      <c r="T52" s="4" t="inlineStr">
        <is>
          <t>collection</t>
        </is>
      </c>
      <c r="U52" s="4" t="inlineStr">
        <is>
          <t>general</t>
        </is>
      </c>
      <c r="V52" s="4" t="inlineStr">
        <is>
          <t>popular</t>
        </is>
      </c>
      <c r="W52" s="4" t="inlineStr">
        <is>
          <t>mixed</t>
        </is>
      </c>
      <c r="X52" s="4" t="inlineStr">
        <is>
          <t>magazine</t>
        </is>
      </c>
      <c r="Y52" s="4" t="inlineStr">
        <is>
          <t>新字新仮名</t>
        </is>
      </c>
      <c r="Z52" s="4" t="inlineStr">
        <is>
          <t>complete</t>
        </is>
      </c>
      <c r="AA52" s="4" t="inlineStr">
        <is>
          <t>枠物語形式の怪談集。カードに初出欄なし</t>
        </is>
      </c>
      <c r="AB52" s="4" t="n">
        <v>76021</v>
      </c>
      <c r="AC52" s="4" t="n">
        <v>7042</v>
      </c>
      <c r="AD52" s="4" t="n">
        <v>92.63</v>
      </c>
      <c r="AE52" s="4" t="n">
        <v>0.2653</v>
      </c>
      <c r="AF52" s="4" t="n">
        <v>0.0018</v>
      </c>
      <c r="AG52" s="4" t="n">
        <v>20.5</v>
      </c>
      <c r="AH52" s="4" t="n">
        <v>76.8</v>
      </c>
      <c r="AI52" s="4" t="n">
        <v>56.4</v>
      </c>
      <c r="AJ52" s="4" t="n">
        <v>43.9</v>
      </c>
      <c r="AK52" s="4" t="n">
        <v>0</v>
      </c>
      <c r="AL52" s="4" t="n">
        <v>0</v>
      </c>
      <c r="AM52" s="4" t="n">
        <v>97</v>
      </c>
      <c r="AN52" s="4" t="n">
        <v>0</v>
      </c>
      <c r="AO52" s="4" t="n">
        <v>37</v>
      </c>
      <c r="AP52" s="4" t="n">
        <v>0</v>
      </c>
      <c r="AQ52" s="4" t="inlineStr">
        <is>
          <t>C_口語体</t>
        </is>
      </c>
    </row>
    <row r="53">
      <c r="A53" s="4" t="inlineStr">
        <is>
          <t>JLIT052</t>
        </is>
      </c>
      <c r="B53" s="4" t="inlineStr">
        <is>
          <t>綺堂_飛騨の怪談.txt</t>
        </is>
      </c>
      <c r="C53" s="4" t="inlineStr">
        <is>
          <t>岡本綺堂</t>
        </is>
      </c>
      <c r="D53" s="4" t="inlineStr">
        <is>
          <t>おかもと きどう</t>
        </is>
      </c>
      <c r="E53" s="4" t="inlineStr">
        <is>
          <t>M</t>
        </is>
      </c>
      <c r="F53" s="4" t="n">
        <v>1872</v>
      </c>
      <c r="G53" s="4" t="n">
        <v>1939</v>
      </c>
      <c r="H53" s="4" t="inlineStr">
        <is>
          <t>飛騨の怪談</t>
        </is>
      </c>
      <c r="I53" s="4" t="inlineStr">
        <is>
          <t>000082</t>
        </is>
      </c>
      <c r="J53" s="4" t="inlineStr">
        <is>
          <t>49682</t>
        </is>
      </c>
      <c r="K53" s="4" t="inlineStr">
        <is>
          <t>https://www.aozora.gr.jp/cards/000082/card49682.html</t>
        </is>
      </c>
      <c r="L53" s="4" t="n">
        <v>1912</v>
      </c>
      <c r="M53" s="4" t="n">
        <v>1913</v>
      </c>
      <c r="N53" s="4" t="inlineStr">
        <is>
          <t>card</t>
        </is>
      </c>
      <c r="O53" s="4" t="inlineStr">
        <is>
          <t>4_大正(1912-1925)</t>
        </is>
      </c>
      <c r="P53" s="4" t="inlineStr">
        <is>
          <t>913</t>
        </is>
      </c>
      <c r="Q53" s="4" t="inlineStr">
        <is>
          <t>日本文学／小説・物語</t>
        </is>
      </c>
      <c r="R53" s="4" t="inlineStr">
        <is>
          <t>Fiction</t>
        </is>
      </c>
      <c r="S53" s="4" t="inlineStr">
        <is>
          <t>Ghost-Story</t>
        </is>
      </c>
      <c r="T53" s="4" t="inlineStr">
        <is>
          <t>novel</t>
        </is>
      </c>
      <c r="U53" s="4" t="inlineStr">
        <is>
          <t>general</t>
        </is>
      </c>
      <c r="V53" s="4" t="inlineStr">
        <is>
          <t>popular</t>
        </is>
      </c>
      <c r="W53" s="4" t="inlineStr">
        <is>
          <t>first</t>
        </is>
      </c>
      <c r="X53" s="4" t="inlineStr">
        <is>
          <t>newspaper</t>
        </is>
      </c>
      <c r="Y53" s="4" t="inlineStr">
        <is>
          <t>新字新仮名</t>
        </is>
      </c>
      <c r="Z53" s="4" t="inlineStr">
        <is>
          <t>complete</t>
        </is>
      </c>
      <c r="AA53" s="4" t="inlineStr">
        <is>
          <t>【修正】「やまと新聞」1912年11月13日〜1913年1月21日。v1 の1913は完結年</t>
        </is>
      </c>
      <c r="AB53" s="4" t="n">
        <v>69118</v>
      </c>
      <c r="AC53" s="4" t="n">
        <v>6239</v>
      </c>
      <c r="AD53" s="4" t="n">
        <v>90.27</v>
      </c>
      <c r="AE53" s="4" t="n">
        <v>0.3656</v>
      </c>
      <c r="AF53" s="4" t="n">
        <v>0.0035</v>
      </c>
      <c r="AG53" s="4" t="n">
        <v>15.5</v>
      </c>
      <c r="AH53" s="4" t="n">
        <v>42.8</v>
      </c>
      <c r="AI53" s="4" t="n">
        <v>23.7</v>
      </c>
      <c r="AJ53" s="4" t="n">
        <v>58.5</v>
      </c>
      <c r="AK53" s="4" t="n">
        <v>0</v>
      </c>
      <c r="AL53" s="4" t="n">
        <v>0</v>
      </c>
      <c r="AM53" s="4" t="n">
        <v>230</v>
      </c>
      <c r="AN53" s="4" t="n">
        <v>0</v>
      </c>
      <c r="AO53" s="4" t="n">
        <v>3</v>
      </c>
      <c r="AP53" s="4" t="n">
        <v>0</v>
      </c>
      <c r="AQ53" s="4" t="inlineStr">
        <is>
          <t>C_口語体</t>
        </is>
      </c>
    </row>
    <row r="54">
      <c r="A54" s="4" t="inlineStr">
        <is>
          <t>JLIT053</t>
        </is>
      </c>
      <c r="B54" s="4" t="inlineStr">
        <is>
          <t>芥川_偸盗.txt</t>
        </is>
      </c>
      <c r="C54" s="4" t="inlineStr">
        <is>
          <t>芥川竜之介</t>
        </is>
      </c>
      <c r="D54" s="4" t="inlineStr">
        <is>
          <t>あくたがわ りゅうのすけ</t>
        </is>
      </c>
      <c r="E54" s="4" t="inlineStr">
        <is>
          <t>M</t>
        </is>
      </c>
      <c r="F54" s="4" t="n">
        <v>1892</v>
      </c>
      <c r="G54" s="4" t="n">
        <v>1927</v>
      </c>
      <c r="H54" s="4" t="inlineStr">
        <is>
          <t>偸盗</t>
        </is>
      </c>
      <c r="I54" s="4" t="inlineStr">
        <is>
          <t>000879</t>
        </is>
      </c>
      <c r="J54" s="4" t="inlineStr">
        <is>
          <t>31</t>
        </is>
      </c>
      <c r="K54" s="4" t="inlineStr">
        <is>
          <t>https://www.aozora.gr.jp/cards/000879/card31.html</t>
        </is>
      </c>
      <c r="L54" s="4" t="n">
        <v>1917</v>
      </c>
      <c r="M54" s="4" t="n">
        <v>1917</v>
      </c>
      <c r="N54" s="4" t="inlineStr">
        <is>
          <t>card</t>
        </is>
      </c>
      <c r="O54" s="4" t="inlineStr">
        <is>
          <t>4_大正(1912-1925)</t>
        </is>
      </c>
      <c r="P54" s="4" t="inlineStr">
        <is>
          <t>913</t>
        </is>
      </c>
      <c r="Q54" s="4" t="inlineStr">
        <is>
          <t>日本文学／小説・物語</t>
        </is>
      </c>
      <c r="R54" s="4" t="inlineStr">
        <is>
          <t>Fiction</t>
        </is>
      </c>
      <c r="S54" s="4" t="inlineStr">
        <is>
          <t>Historical</t>
        </is>
      </c>
      <c r="T54" s="4" t="inlineStr">
        <is>
          <t>novella</t>
        </is>
      </c>
      <c r="U54" s="4" t="inlineStr">
        <is>
          <t>general</t>
        </is>
      </c>
      <c r="V54" s="4" t="inlineStr">
        <is>
          <t>canonical</t>
        </is>
      </c>
      <c r="W54" s="4" t="inlineStr">
        <is>
          <t>third</t>
        </is>
      </c>
      <c r="X54" s="4" t="inlineStr">
        <is>
          <t>magazine</t>
        </is>
      </c>
      <c r="Y54" s="4" t="inlineStr">
        <is>
          <t>新字新仮名</t>
        </is>
      </c>
      <c r="Z54" s="4" t="inlineStr">
        <is>
          <t>complete</t>
        </is>
      </c>
      <c r="AA54" s="4" t="inlineStr">
        <is>
          <t>「中央公論」1917年4・7月</t>
        </is>
      </c>
      <c r="AB54" s="4" t="n">
        <v>31541</v>
      </c>
      <c r="AC54" s="4" t="n">
        <v>3868</v>
      </c>
      <c r="AD54" s="4" t="n">
        <v>122.63</v>
      </c>
      <c r="AE54" s="4" t="n">
        <v>0.2274</v>
      </c>
      <c r="AF54" s="4" t="n">
        <v>0</v>
      </c>
      <c r="AG54" s="4" t="n">
        <v>8.6</v>
      </c>
      <c r="AH54" s="4" t="n">
        <v>44.4</v>
      </c>
      <c r="AI54" s="4" t="n">
        <v>73.2</v>
      </c>
      <c r="AJ54" s="4" t="n">
        <v>32.3</v>
      </c>
      <c r="AK54" s="4" t="n">
        <v>0</v>
      </c>
      <c r="AL54" s="4" t="n">
        <v>0</v>
      </c>
      <c r="AM54" s="4" t="n">
        <v>49</v>
      </c>
      <c r="AN54" s="4" t="n">
        <v>0</v>
      </c>
      <c r="AO54" s="4" t="n">
        <v>0</v>
      </c>
      <c r="AP54" s="4" t="n">
        <v>0</v>
      </c>
      <c r="AQ54" s="4" t="inlineStr">
        <is>
          <t>C_口語体</t>
        </is>
      </c>
    </row>
    <row r="55">
      <c r="A55" s="4" t="inlineStr">
        <is>
          <t>JLIT054</t>
        </is>
      </c>
      <c r="B55" s="4" t="inlineStr">
        <is>
          <t>芥川_文芸的な.txt</t>
        </is>
      </c>
      <c r="C55" s="4" t="inlineStr">
        <is>
          <t>芥川竜之介</t>
        </is>
      </c>
      <c r="D55" s="4" t="inlineStr">
        <is>
          <t>あくたがわ りゅうのすけ</t>
        </is>
      </c>
      <c r="E55" s="4" t="inlineStr">
        <is>
          <t>M</t>
        </is>
      </c>
      <c r="F55" s="4" t="n">
        <v>1892</v>
      </c>
      <c r="G55" s="4" t="n">
        <v>1927</v>
      </c>
      <c r="H55" s="4" t="inlineStr">
        <is>
          <t>文芸的な、余りに文芸的な</t>
        </is>
      </c>
      <c r="I55" s="4" t="inlineStr">
        <is>
          <t>000879</t>
        </is>
      </c>
      <c r="J55" s="4" t="inlineStr">
        <is>
          <t>26</t>
        </is>
      </c>
      <c r="K55" s="4" t="inlineStr">
        <is>
          <t>https://www.aozora.gr.jp/cards/000879/card26.html</t>
        </is>
      </c>
      <c r="L55" s="4" t="n">
        <v>1927</v>
      </c>
      <c r="M55" s="4" t="n">
        <v>1927</v>
      </c>
      <c r="N55" s="4" t="inlineStr">
        <is>
          <t>card</t>
        </is>
      </c>
      <c r="O55" s="4" t="inlineStr">
        <is>
          <t>5_昭和戦前(1926-1944)</t>
        </is>
      </c>
      <c r="P55" s="4" t="inlineStr">
        <is>
          <t>914</t>
        </is>
      </c>
      <c r="Q55" s="4" t="inlineStr">
        <is>
          <t>日本文学／評論・随筆</t>
        </is>
      </c>
      <c r="R55" s="4" t="inlineStr">
        <is>
          <t>Nonfiction</t>
        </is>
      </c>
      <c r="S55" s="4" t="inlineStr">
        <is>
          <t>Criticism</t>
        </is>
      </c>
      <c r="T55" s="4" t="inlineStr">
        <is>
          <t>essay</t>
        </is>
      </c>
      <c r="U55" s="4" t="inlineStr">
        <is>
          <t>general</t>
        </is>
      </c>
      <c r="V55" s="4" t="inlineStr">
        <is>
          <t>canonical</t>
        </is>
      </c>
      <c r="W55" s="4" t="inlineStr">
        <is>
          <t>first</t>
        </is>
      </c>
      <c r="X55" s="4" t="inlineStr">
        <is>
          <t>magazine</t>
        </is>
      </c>
      <c r="Y55" s="4" t="inlineStr">
        <is>
          <t>新字旧仮名</t>
        </is>
      </c>
      <c r="Z55" s="4" t="inlineStr">
        <is>
          <t>complete</t>
        </is>
      </c>
      <c r="AA55" s="4" t="inlineStr">
        <is>
          <t>【修正】NDC 914（随筆・評論）。「改造」1927年4〜8月</t>
        </is>
      </c>
      <c r="AB55" s="4" t="n">
        <v>31315</v>
      </c>
      <c r="AC55" s="4" t="n">
        <v>3484</v>
      </c>
      <c r="AD55" s="4" t="n">
        <v>111.26</v>
      </c>
      <c r="AE55" s="4" t="n">
        <v>0.3514</v>
      </c>
      <c r="AF55" s="4" t="n">
        <v>0.0471</v>
      </c>
      <c r="AG55" s="4" t="n">
        <v>9.300000000000001</v>
      </c>
      <c r="AH55" s="4" t="n">
        <v>1</v>
      </c>
      <c r="AI55" s="4" t="n">
        <v>160.9</v>
      </c>
      <c r="AJ55" s="4" t="n">
        <v>17.6</v>
      </c>
      <c r="AK55" s="4" t="n">
        <v>0</v>
      </c>
      <c r="AL55" s="4" t="n">
        <v>0</v>
      </c>
      <c r="AM55" s="4" t="n">
        <v>81</v>
      </c>
      <c r="AN55" s="4" t="n">
        <v>0</v>
      </c>
      <c r="AO55" s="4" t="n">
        <v>102</v>
      </c>
      <c r="AP55" s="4" t="n">
        <v>4</v>
      </c>
      <c r="AQ55" s="4" t="inlineStr">
        <is>
          <t>C_口語体</t>
        </is>
      </c>
    </row>
    <row r="56">
      <c r="A56" s="4" t="inlineStr">
        <is>
          <t>JLIT055</t>
        </is>
      </c>
      <c r="B56" s="4" t="inlineStr">
        <is>
          <t>藤村_千曲川.txt</t>
        </is>
      </c>
      <c r="C56" s="4" t="inlineStr">
        <is>
          <t>島崎藤村</t>
        </is>
      </c>
      <c r="D56" s="4" t="inlineStr">
        <is>
          <t>しまざき とうそん</t>
        </is>
      </c>
      <c r="E56" s="4" t="inlineStr">
        <is>
          <t>M</t>
        </is>
      </c>
      <c r="F56" s="4" t="n">
        <v>1872</v>
      </c>
      <c r="G56" s="4" t="n">
        <v>1943</v>
      </c>
      <c r="H56" s="4" t="inlineStr">
        <is>
          <t>千曲川のスケッチ</t>
        </is>
      </c>
      <c r="I56" s="4" t="inlineStr">
        <is>
          <t>000158</t>
        </is>
      </c>
      <c r="J56" s="4" t="inlineStr">
        <is>
          <t>1503</t>
        </is>
      </c>
      <c r="K56" s="4" t="inlineStr">
        <is>
          <t>https://www.aozora.gr.jp/cards/000158/card1503.html</t>
        </is>
      </c>
      <c r="L56" s="5" t="n">
        <v>1911</v>
      </c>
      <c r="M56" s="4" t="n">
        <v>1912</v>
      </c>
      <c r="N56" s="5" t="inlineStr">
        <is>
          <t>editor</t>
        </is>
      </c>
      <c r="O56" s="4" t="inlineStr">
        <is>
          <t>3_明治後期(1900-1911)</t>
        </is>
      </c>
      <c r="P56" s="4" t="inlineStr">
        <is>
          <t>914</t>
        </is>
      </c>
      <c r="Q56" s="4" t="inlineStr">
        <is>
          <t>日本文学／評論・随筆</t>
        </is>
      </c>
      <c r="R56" s="4" t="inlineStr">
        <is>
          <t>Nonfiction</t>
        </is>
      </c>
      <c r="S56" s="4" t="inlineStr">
        <is>
          <t>Sketch-Essay</t>
        </is>
      </c>
      <c r="T56" s="4" t="inlineStr">
        <is>
          <t>essay</t>
        </is>
      </c>
      <c r="U56" s="4" t="inlineStr">
        <is>
          <t>general</t>
        </is>
      </c>
      <c r="V56" s="4" t="inlineStr">
        <is>
          <t>canonical</t>
        </is>
      </c>
      <c r="W56" s="4" t="inlineStr">
        <is>
          <t>first</t>
        </is>
      </c>
      <c r="X56" s="4" t="inlineStr">
        <is>
          <t>magazine</t>
        </is>
      </c>
      <c r="Y56" s="4" t="inlineStr">
        <is>
          <t>新字新仮名</t>
        </is>
      </c>
      <c r="Z56" s="4" t="inlineStr">
        <is>
          <t>complete</t>
        </is>
      </c>
      <c r="AA56" s="4" t="inlineStr">
        <is>
          <t>【修正】NDC 914。写生文。カードに初出欄なし</t>
        </is>
      </c>
      <c r="AB56" s="4" t="n">
        <v>54434</v>
      </c>
      <c r="AC56" s="4" t="n">
        <v>6417</v>
      </c>
      <c r="AD56" s="4" t="n">
        <v>117.89</v>
      </c>
      <c r="AE56" s="4" t="n">
        <v>0.3603</v>
      </c>
      <c r="AF56" s="4" t="n">
        <v>0.0124</v>
      </c>
      <c r="AG56" s="4" t="n">
        <v>15.6</v>
      </c>
      <c r="AH56" s="4" t="n">
        <v>25.7</v>
      </c>
      <c r="AI56" s="4" t="n">
        <v>83.8</v>
      </c>
      <c r="AJ56" s="4" t="n">
        <v>1.3</v>
      </c>
      <c r="AK56" s="4" t="n">
        <v>0</v>
      </c>
      <c r="AL56" s="4" t="n">
        <v>0</v>
      </c>
      <c r="AM56" s="4" t="n">
        <v>209</v>
      </c>
      <c r="AN56" s="4" t="n">
        <v>0</v>
      </c>
      <c r="AO56" s="4" t="n">
        <v>139</v>
      </c>
      <c r="AP56" s="4" t="n">
        <v>0</v>
      </c>
      <c r="AQ56" s="4" t="inlineStr">
        <is>
          <t>C_口語体</t>
        </is>
      </c>
    </row>
    <row r="57">
      <c r="A57" s="4" t="inlineStr">
        <is>
          <t>JLIT056</t>
        </is>
      </c>
      <c r="B57" s="4" t="inlineStr">
        <is>
          <t>藤村_夜明け前.txt</t>
        </is>
      </c>
      <c r="C57" s="4" t="inlineStr">
        <is>
          <t>島崎藤村</t>
        </is>
      </c>
      <c r="D57" s="4" t="inlineStr">
        <is>
          <t>しまざき とうそん</t>
        </is>
      </c>
      <c r="E57" s="4" t="inlineStr">
        <is>
          <t>M</t>
        </is>
      </c>
      <c r="F57" s="4" t="n">
        <v>1872</v>
      </c>
      <c r="G57" s="4" t="n">
        <v>1943</v>
      </c>
      <c r="H57" s="4" t="inlineStr">
        <is>
          <t>夜明け前（第一部上〜第二部下）</t>
        </is>
      </c>
      <c r="I57" s="4" t="inlineStr">
        <is>
          <t>000158</t>
        </is>
      </c>
      <c r="J57" s="4" t="inlineStr">
        <is>
          <t>1504-1507</t>
        </is>
      </c>
      <c r="K57" s="4" t="inlineStr">
        <is>
          <t>https://www.aozora.gr.jp/cards/000158/card1504.html</t>
        </is>
      </c>
      <c r="L57" s="5" t="n">
        <v>1929</v>
      </c>
      <c r="M57" s="4" t="n">
        <v>1935</v>
      </c>
      <c r="N57" s="5" t="inlineStr">
        <is>
          <t>editor</t>
        </is>
      </c>
      <c r="O57" s="4" t="inlineStr">
        <is>
          <t>5_昭和戦前(1926-1944)</t>
        </is>
      </c>
      <c r="P57" s="4" t="inlineStr">
        <is>
          <t>913</t>
        </is>
      </c>
      <c r="Q57" s="4" t="inlineStr">
        <is>
          <t>日本文学／小説・物語</t>
        </is>
      </c>
      <c r="R57" s="4" t="inlineStr">
        <is>
          <t>Fiction</t>
        </is>
      </c>
      <c r="S57" s="4" t="inlineStr">
        <is>
          <t>Historical</t>
        </is>
      </c>
      <c r="T57" s="4" t="inlineStr">
        <is>
          <t>novel</t>
        </is>
      </c>
      <c r="U57" s="4" t="inlineStr">
        <is>
          <t>general</t>
        </is>
      </c>
      <c r="V57" s="4" t="inlineStr">
        <is>
          <t>canonical</t>
        </is>
      </c>
      <c r="W57" s="4" t="inlineStr">
        <is>
          <t>third</t>
        </is>
      </c>
      <c r="X57" s="4" t="inlineStr">
        <is>
          <t>magazine</t>
        </is>
      </c>
      <c r="Y57" s="4" t="inlineStr">
        <is>
          <t>新字新仮名</t>
        </is>
      </c>
      <c r="Z57" s="4" t="inlineStr">
        <is>
          <t>complete</t>
        </is>
      </c>
      <c r="AA57" s="4" t="inlineStr">
        <is>
          <t>【修正】「中央公論」1929〜1935年。v1 の1935は完結年。青空文庫では4カードに分割</t>
        </is>
      </c>
      <c r="AB57" s="4" t="n">
        <v>502937</v>
      </c>
      <c r="AC57" s="4" t="n">
        <v>22716</v>
      </c>
      <c r="AD57" s="4" t="n">
        <v>45.17</v>
      </c>
      <c r="AE57" s="4" t="n">
        <v>0.3408</v>
      </c>
      <c r="AF57" s="4" t="n">
        <v>0.0045</v>
      </c>
      <c r="AG57" s="4" t="n">
        <v>22.5</v>
      </c>
      <c r="AH57" s="4" t="n">
        <v>39.5</v>
      </c>
      <c r="AI57" s="4" t="n">
        <v>24.7</v>
      </c>
      <c r="AJ57" s="4" t="n">
        <v>32.4</v>
      </c>
      <c r="AK57" s="5" t="n">
        <v>52</v>
      </c>
      <c r="AL57" s="4" t="n">
        <v>0</v>
      </c>
      <c r="AM57" s="4" t="n">
        <v>560</v>
      </c>
      <c r="AN57" s="4" t="n">
        <v>0</v>
      </c>
      <c r="AO57" s="4" t="n">
        <v>0</v>
      </c>
      <c r="AP57" s="4" t="n">
        <v>0</v>
      </c>
      <c r="AQ57" s="4" t="inlineStr">
        <is>
          <t>C_口語体</t>
        </is>
      </c>
    </row>
    <row r="58">
      <c r="A58" s="6" t="inlineStr">
        <is>
          <t>JLIT057</t>
        </is>
      </c>
      <c r="B58" s="6" t="inlineStr">
        <is>
          <t>藤村_家.txt</t>
        </is>
      </c>
      <c r="C58" s="6" t="inlineStr">
        <is>
          <t>島崎藤村</t>
        </is>
      </c>
      <c r="D58" s="6" t="inlineStr">
        <is>
          <t>しまざき とうそん</t>
        </is>
      </c>
      <c r="E58" s="6" t="inlineStr">
        <is>
          <t>M</t>
        </is>
      </c>
      <c r="F58" s="6" t="n">
        <v>1872</v>
      </c>
      <c r="G58" s="6" t="n">
        <v>1943</v>
      </c>
      <c r="H58" s="6" t="inlineStr">
        <is>
          <t>家（下）</t>
        </is>
      </c>
      <c r="I58" s="6" t="inlineStr">
        <is>
          <t>000158</t>
        </is>
      </c>
      <c r="J58" s="6" t="inlineStr">
        <is>
          <t>1510</t>
        </is>
      </c>
      <c r="K58" s="6" t="inlineStr">
        <is>
          <t>https://www.aozora.gr.jp/cards/000158/card1510.html</t>
        </is>
      </c>
      <c r="L58" s="6" t="n">
        <v>1910</v>
      </c>
      <c r="M58" s="6" t="n">
        <v>1911</v>
      </c>
      <c r="N58" s="6" t="inlineStr">
        <is>
          <t>editor</t>
        </is>
      </c>
      <c r="O58" s="6" t="inlineStr">
        <is>
          <t>3_明治後期(1900-1911)</t>
        </is>
      </c>
      <c r="P58" s="6" t="inlineStr">
        <is>
          <t>913</t>
        </is>
      </c>
      <c r="Q58" s="6" t="inlineStr">
        <is>
          <t>日本文学／小説・物語</t>
        </is>
      </c>
      <c r="R58" s="6" t="inlineStr">
        <is>
          <t>Fiction</t>
        </is>
      </c>
      <c r="S58" s="6" t="inlineStr">
        <is>
          <t>Modern</t>
        </is>
      </c>
      <c r="T58" s="6" t="inlineStr">
        <is>
          <t>novel</t>
        </is>
      </c>
      <c r="U58" s="6" t="inlineStr">
        <is>
          <t>general</t>
        </is>
      </c>
      <c r="V58" s="6" t="inlineStr">
        <is>
          <t>canonical</t>
        </is>
      </c>
      <c r="W58" s="6" t="inlineStr">
        <is>
          <t>third</t>
        </is>
      </c>
      <c r="X58" s="6" t="inlineStr">
        <is>
          <t>newspaper</t>
        </is>
      </c>
      <c r="Y58" s="6" t="inlineStr">
        <is>
          <t>新字新仮名</t>
        </is>
      </c>
      <c r="Z58" s="6" t="inlineStr">
        <is>
          <t>PARTIAL</t>
        </is>
      </c>
      <c r="AA58" s="6" t="inlineStr">
        <is>
          <t>【重大】下巻のみ収録。上巻（card1509）が欠落。作品全体としては不完全</t>
        </is>
      </c>
      <c r="AB58" s="6" t="n">
        <v>95663</v>
      </c>
      <c r="AC58" s="6" t="n">
        <v>6572</v>
      </c>
      <c r="AD58" s="6" t="n">
        <v>68.7</v>
      </c>
      <c r="AE58" s="6" t="n">
        <v>0.3323</v>
      </c>
      <c r="AF58" s="6" t="n">
        <v>0.0131</v>
      </c>
      <c r="AG58" s="6" t="n">
        <v>13</v>
      </c>
      <c r="AH58" s="6" t="n">
        <v>78.2</v>
      </c>
      <c r="AI58" s="6" t="n">
        <v>65.3</v>
      </c>
      <c r="AJ58" s="6" t="n">
        <v>29.8</v>
      </c>
      <c r="AK58" s="5" t="n">
        <v>11</v>
      </c>
      <c r="AL58" s="6" t="n">
        <v>0</v>
      </c>
      <c r="AM58" s="6" t="n">
        <v>147</v>
      </c>
      <c r="AN58" s="6" t="n">
        <v>0</v>
      </c>
      <c r="AO58" s="6" t="n">
        <v>15</v>
      </c>
      <c r="AP58" s="6" t="n">
        <v>0</v>
      </c>
      <c r="AQ58" s="6" t="inlineStr">
        <is>
          <t>C_口語体</t>
        </is>
      </c>
    </row>
    <row r="59">
      <c r="A59" s="4" t="inlineStr">
        <is>
          <t>JLIT058</t>
        </is>
      </c>
      <c r="B59" s="4" t="inlineStr">
        <is>
          <t>藤村_新生.txt</t>
        </is>
      </c>
      <c r="C59" s="4" t="inlineStr">
        <is>
          <t>島崎藤村</t>
        </is>
      </c>
      <c r="D59" s="4" t="inlineStr">
        <is>
          <t>しまざき とうそん</t>
        </is>
      </c>
      <c r="E59" s="4" t="inlineStr">
        <is>
          <t>M</t>
        </is>
      </c>
      <c r="F59" s="4" t="n">
        <v>1872</v>
      </c>
      <c r="G59" s="4" t="n">
        <v>1943</v>
      </c>
      <c r="H59" s="4" t="inlineStr">
        <is>
          <t>新生</t>
        </is>
      </c>
      <c r="I59" s="4" t="inlineStr">
        <is>
          <t>000158</t>
        </is>
      </c>
      <c r="J59" s="4" t="inlineStr">
        <is>
          <t>843</t>
        </is>
      </c>
      <c r="K59" s="4" t="inlineStr">
        <is>
          <t>https://www.aozora.gr.jp/cards/000158/card843.html</t>
        </is>
      </c>
      <c r="L59" s="4" t="n">
        <v>1918</v>
      </c>
      <c r="M59" s="4" t="n">
        <v>1919</v>
      </c>
      <c r="N59" s="4" t="inlineStr">
        <is>
          <t>card</t>
        </is>
      </c>
      <c r="O59" s="4" t="inlineStr">
        <is>
          <t>4_大正(1912-1925)</t>
        </is>
      </c>
      <c r="P59" s="4" t="inlineStr">
        <is>
          <t>913</t>
        </is>
      </c>
      <c r="Q59" s="4" t="inlineStr">
        <is>
          <t>日本文学／小説・物語</t>
        </is>
      </c>
      <c r="R59" s="4" t="inlineStr">
        <is>
          <t>Fiction</t>
        </is>
      </c>
      <c r="S59" s="4" t="inlineStr">
        <is>
          <t>Modern</t>
        </is>
      </c>
      <c r="T59" s="4" t="inlineStr">
        <is>
          <t>novel</t>
        </is>
      </c>
      <c r="U59" s="4" t="inlineStr">
        <is>
          <t>general</t>
        </is>
      </c>
      <c r="V59" s="4" t="inlineStr">
        <is>
          <t>canonical</t>
        </is>
      </c>
      <c r="W59" s="4" t="inlineStr">
        <is>
          <t>third</t>
        </is>
      </c>
      <c r="X59" s="4" t="inlineStr">
        <is>
          <t>newspaper</t>
        </is>
      </c>
      <c r="Y59" s="4" t="inlineStr">
        <is>
          <t>新字新仮名</t>
        </is>
      </c>
      <c r="Z59" s="4" t="inlineStr">
        <is>
          <t>complete</t>
        </is>
      </c>
      <c r="AA59" s="4" t="inlineStr">
        <is>
          <t>【修正】「東京朝日新聞」1918年5月〜1919年10月。v1 の1919は完結年</t>
        </is>
      </c>
      <c r="AB59" s="4" t="n">
        <v>217887</v>
      </c>
      <c r="AC59" s="4" t="n">
        <v>10925</v>
      </c>
      <c r="AD59" s="4" t="n">
        <v>50.14</v>
      </c>
      <c r="AE59" s="4" t="n">
        <v>0.339</v>
      </c>
      <c r="AF59" s="4" t="n">
        <v>0.0109</v>
      </c>
      <c r="AG59" s="4" t="n">
        <v>12.9</v>
      </c>
      <c r="AH59" s="4" t="n">
        <v>33.4</v>
      </c>
      <c r="AI59" s="4" t="n">
        <v>68</v>
      </c>
      <c r="AJ59" s="4" t="n">
        <v>88.3</v>
      </c>
      <c r="AK59" s="4" t="n">
        <v>0</v>
      </c>
      <c r="AL59" s="4" t="n">
        <v>0</v>
      </c>
      <c r="AM59" s="4" t="n">
        <v>274</v>
      </c>
      <c r="AN59" s="4" t="n">
        <v>0</v>
      </c>
      <c r="AO59" s="4" t="n">
        <v>835</v>
      </c>
      <c r="AP59" s="4" t="n">
        <v>0</v>
      </c>
      <c r="AQ59" s="4" t="inlineStr">
        <is>
          <t>C_口語体</t>
        </is>
      </c>
    </row>
    <row r="60">
      <c r="A60" s="4" t="inlineStr">
        <is>
          <t>JLIT059</t>
        </is>
      </c>
      <c r="B60" s="4" t="inlineStr">
        <is>
          <t>藤村_破戒.txt</t>
        </is>
      </c>
      <c r="C60" s="4" t="inlineStr">
        <is>
          <t>島崎藤村</t>
        </is>
      </c>
      <c r="D60" s="4" t="inlineStr">
        <is>
          <t>しまざき とうそん</t>
        </is>
      </c>
      <c r="E60" s="4" t="inlineStr">
        <is>
          <t>M</t>
        </is>
      </c>
      <c r="F60" s="4" t="n">
        <v>1872</v>
      </c>
      <c r="G60" s="4" t="n">
        <v>1943</v>
      </c>
      <c r="H60" s="4" t="inlineStr">
        <is>
          <t>破戒</t>
        </is>
      </c>
      <c r="I60" s="4" t="inlineStr">
        <is>
          <t>000158</t>
        </is>
      </c>
      <c r="J60" s="4" t="inlineStr">
        <is>
          <t>1502</t>
        </is>
      </c>
      <c r="K60" s="4" t="inlineStr">
        <is>
          <t>https://www.aozora.gr.jp/cards/000158/card1502.html</t>
        </is>
      </c>
      <c r="L60" s="4" t="n">
        <v>1906</v>
      </c>
      <c r="M60" s="4" t="n">
        <v>1906</v>
      </c>
      <c r="N60" s="4" t="inlineStr">
        <is>
          <t>card</t>
        </is>
      </c>
      <c r="O60" s="4" t="inlineStr">
        <is>
          <t>3_明治後期(1900-1911)</t>
        </is>
      </c>
      <c r="P60" s="4" t="inlineStr">
        <is>
          <t>913</t>
        </is>
      </c>
      <c r="Q60" s="4" t="inlineStr">
        <is>
          <t>日本文学／小説・物語</t>
        </is>
      </c>
      <c r="R60" s="4" t="inlineStr">
        <is>
          <t>Fiction</t>
        </is>
      </c>
      <c r="S60" s="4" t="inlineStr">
        <is>
          <t>Naturalist</t>
        </is>
      </c>
      <c r="T60" s="4" t="inlineStr">
        <is>
          <t>novel</t>
        </is>
      </c>
      <c r="U60" s="4" t="inlineStr">
        <is>
          <t>general</t>
        </is>
      </c>
      <c r="V60" s="4" t="inlineStr">
        <is>
          <t>canonical</t>
        </is>
      </c>
      <c r="W60" s="4" t="inlineStr">
        <is>
          <t>third</t>
        </is>
      </c>
      <c r="X60" s="4" t="inlineStr">
        <is>
          <t>book</t>
        </is>
      </c>
      <c r="Y60" s="4" t="inlineStr">
        <is>
          <t>新字旧仮名</t>
        </is>
      </c>
      <c r="Z60" s="4" t="inlineStr">
        <is>
          <t>complete</t>
        </is>
      </c>
      <c r="AA60" s="4" t="inlineStr">
        <is>
          <t>緑蔭叢書1906年3月（自費出版）。新字旧仮名・仮名踊り字218件</t>
        </is>
      </c>
      <c r="AB60" s="4" t="n">
        <v>138602</v>
      </c>
      <c r="AC60" s="4" t="n">
        <v>8468</v>
      </c>
      <c r="AD60" s="4" t="n">
        <v>61.1</v>
      </c>
      <c r="AE60" s="4" t="n">
        <v>0.3713</v>
      </c>
      <c r="AF60" s="4" t="n">
        <v>0.0014</v>
      </c>
      <c r="AG60" s="4" t="n">
        <v>20.9</v>
      </c>
      <c r="AH60" s="4" t="n">
        <v>36.9</v>
      </c>
      <c r="AI60" s="4" t="n">
        <v>47.3</v>
      </c>
      <c r="AJ60" s="4" t="n">
        <v>21.3</v>
      </c>
      <c r="AK60" s="4" t="n">
        <v>0</v>
      </c>
      <c r="AL60" s="4" t="n">
        <v>218</v>
      </c>
      <c r="AM60" s="4" t="n">
        <v>395</v>
      </c>
      <c r="AN60" s="4" t="n">
        <v>0</v>
      </c>
      <c r="AO60" s="4" t="n">
        <v>0</v>
      </c>
      <c r="AP60" s="4" t="n">
        <v>0</v>
      </c>
      <c r="AQ60" s="4" t="inlineStr">
        <is>
          <t>C_口語体</t>
        </is>
      </c>
    </row>
    <row r="61">
      <c r="A61" s="4" t="inlineStr">
        <is>
          <t>JLIT060</t>
        </is>
      </c>
      <c r="B61" s="4" t="inlineStr">
        <is>
          <t>鴎外_ヰタ.txt</t>
        </is>
      </c>
      <c r="C61" s="4" t="inlineStr">
        <is>
          <t>森鴎外</t>
        </is>
      </c>
      <c r="D61" s="4" t="inlineStr">
        <is>
          <t>もり おうがい</t>
        </is>
      </c>
      <c r="E61" s="4" t="inlineStr">
        <is>
          <t>M</t>
        </is>
      </c>
      <c r="F61" s="4" t="n">
        <v>1862</v>
      </c>
      <c r="G61" s="4" t="n">
        <v>1922</v>
      </c>
      <c r="H61" s="4" t="inlineStr">
        <is>
          <t>ヰタ・セクスアリス</t>
        </is>
      </c>
      <c r="I61" s="4" t="inlineStr">
        <is>
          <t>000129</t>
        </is>
      </c>
      <c r="J61" s="4" t="inlineStr">
        <is>
          <t>695</t>
        </is>
      </c>
      <c r="K61" s="4" t="inlineStr">
        <is>
          <t>https://www.aozora.gr.jp/cards/000129/card695.html</t>
        </is>
      </c>
      <c r="L61" s="4" t="n">
        <v>1909</v>
      </c>
      <c r="M61" s="4" t="n">
        <v>1909</v>
      </c>
      <c r="N61" s="4" t="inlineStr">
        <is>
          <t>card</t>
        </is>
      </c>
      <c r="O61" s="4" t="inlineStr">
        <is>
          <t>3_明治後期(1900-1911)</t>
        </is>
      </c>
      <c r="P61" s="4" t="inlineStr">
        <is>
          <t>913</t>
        </is>
      </c>
      <c r="Q61" s="4" t="inlineStr">
        <is>
          <t>日本文学／小説・物語</t>
        </is>
      </c>
      <c r="R61" s="4" t="inlineStr">
        <is>
          <t>Fiction</t>
        </is>
      </c>
      <c r="S61" s="4" t="inlineStr">
        <is>
          <t>Modern</t>
        </is>
      </c>
      <c r="T61" s="4" t="inlineStr">
        <is>
          <t>novella</t>
        </is>
      </c>
      <c r="U61" s="4" t="inlineStr">
        <is>
          <t>general</t>
        </is>
      </c>
      <c r="V61" s="4" t="inlineStr">
        <is>
          <t>canonical</t>
        </is>
      </c>
      <c r="W61" s="4" t="inlineStr">
        <is>
          <t>first</t>
        </is>
      </c>
      <c r="X61" s="4" t="inlineStr">
        <is>
          <t>magazine</t>
        </is>
      </c>
      <c r="Y61" s="4" t="inlineStr">
        <is>
          <t>新字新仮名</t>
        </is>
      </c>
      <c r="Z61" s="4" t="inlineStr">
        <is>
          <t>complete</t>
        </is>
      </c>
      <c r="AA61" s="4" t="inlineStr">
        <is>
          <t>「昴」1909年7月</t>
        </is>
      </c>
      <c r="AB61" s="4" t="n">
        <v>38708</v>
      </c>
      <c r="AC61" s="4" t="n">
        <v>4620</v>
      </c>
      <c r="AD61" s="4" t="n">
        <v>119.36</v>
      </c>
      <c r="AE61" s="4" t="n">
        <v>0.3168</v>
      </c>
      <c r="AF61" s="4" t="n">
        <v>0.0015</v>
      </c>
      <c r="AG61" s="4" t="n">
        <v>13.2</v>
      </c>
      <c r="AH61" s="4" t="n">
        <v>10.1</v>
      </c>
      <c r="AI61" s="4" t="n">
        <v>138.2</v>
      </c>
      <c r="AJ61" s="4" t="n">
        <v>8.800000000000001</v>
      </c>
      <c r="AK61" s="4" t="n">
        <v>0</v>
      </c>
      <c r="AL61" s="4" t="n">
        <v>0</v>
      </c>
      <c r="AM61" s="4" t="n">
        <v>39</v>
      </c>
      <c r="AN61" s="4" t="n">
        <v>0</v>
      </c>
      <c r="AO61" s="4" t="n">
        <v>856</v>
      </c>
      <c r="AP61" s="4" t="n">
        <v>0</v>
      </c>
      <c r="AQ61" s="4" t="inlineStr">
        <is>
          <t>C_口語体</t>
        </is>
      </c>
    </row>
    <row r="62">
      <c r="A62" s="4" t="inlineStr">
        <is>
          <t>JLIT061</t>
        </is>
      </c>
      <c r="B62" s="4" t="inlineStr">
        <is>
          <t>鴎外_伊沢蘭軒.txt</t>
        </is>
      </c>
      <c r="C62" s="4" t="inlineStr">
        <is>
          <t>森鴎外</t>
        </is>
      </c>
      <c r="D62" s="4" t="inlineStr">
        <is>
          <t>もり おうがい</t>
        </is>
      </c>
      <c r="E62" s="4" t="inlineStr">
        <is>
          <t>M</t>
        </is>
      </c>
      <c r="F62" s="4" t="n">
        <v>1862</v>
      </c>
      <c r="G62" s="4" t="n">
        <v>1922</v>
      </c>
      <c r="H62" s="4" t="inlineStr">
        <is>
          <t>伊沢蘭軒</t>
        </is>
      </c>
      <c r="I62" s="4" t="inlineStr">
        <is>
          <t>000129</t>
        </is>
      </c>
      <c r="J62" s="4" t="inlineStr">
        <is>
          <t>2084</t>
        </is>
      </c>
      <c r="K62" s="4" t="inlineStr">
        <is>
          <t>https://www.aozora.gr.jp/cards/000129/card2084.html</t>
        </is>
      </c>
      <c r="L62" s="4" t="n">
        <v>1916</v>
      </c>
      <c r="M62" s="4" t="n">
        <v>1917</v>
      </c>
      <c r="N62" s="4" t="inlineStr">
        <is>
          <t>card</t>
        </is>
      </c>
      <c r="O62" s="4" t="inlineStr">
        <is>
          <t>4_大正(1912-1925)</t>
        </is>
      </c>
      <c r="P62" s="4" t="inlineStr">
        <is>
          <t>913</t>
        </is>
      </c>
      <c r="Q62" s="4" t="inlineStr">
        <is>
          <t>日本文学／小説・物語</t>
        </is>
      </c>
      <c r="R62" s="4" t="inlineStr">
        <is>
          <t>Nonfiction</t>
        </is>
      </c>
      <c r="S62" s="4" t="inlineStr">
        <is>
          <t>Historical-Biography</t>
        </is>
      </c>
      <c r="T62" s="4" t="inlineStr">
        <is>
          <t>biography</t>
        </is>
      </c>
      <c r="U62" s="4" t="inlineStr">
        <is>
          <t>general</t>
        </is>
      </c>
      <c r="V62" s="4" t="inlineStr">
        <is>
          <t>canonical</t>
        </is>
      </c>
      <c r="W62" s="4" t="inlineStr">
        <is>
          <t>first</t>
        </is>
      </c>
      <c r="X62" s="4" t="inlineStr">
        <is>
          <t>newspaper</t>
        </is>
      </c>
      <c r="Y62" s="4" t="inlineStr">
        <is>
          <t>新字旧仮名</t>
        </is>
      </c>
      <c r="Z62" s="4" t="inlineStr">
        <is>
          <t>complete</t>
        </is>
      </c>
      <c r="AA62" s="4" t="inlineStr">
        <is>
          <t>史伝。漢字率51.3%（最高）。外字欠落166件（最多）</t>
        </is>
      </c>
      <c r="AB62" s="4" t="n">
        <v>336111</v>
      </c>
      <c r="AC62" s="4" t="n">
        <v>24427</v>
      </c>
      <c r="AD62" s="4" t="n">
        <v>72.68000000000001</v>
      </c>
      <c r="AE62" s="4" t="n">
        <v>0.5132</v>
      </c>
      <c r="AF62" s="4" t="n">
        <v>0.0013</v>
      </c>
      <c r="AG62" s="4" t="n">
        <v>82.09999999999999</v>
      </c>
      <c r="AH62" s="4" t="n">
        <v>2.1</v>
      </c>
      <c r="AI62" s="4" t="n">
        <v>41.7</v>
      </c>
      <c r="AJ62" s="4" t="n">
        <v>3</v>
      </c>
      <c r="AK62" s="5" t="n">
        <v>166</v>
      </c>
      <c r="AL62" s="4" t="n">
        <v>0</v>
      </c>
      <c r="AM62" s="4" t="n">
        <v>477</v>
      </c>
      <c r="AN62" s="4" t="n">
        <v>0</v>
      </c>
      <c r="AO62" s="4" t="n">
        <v>0</v>
      </c>
      <c r="AP62" s="4" t="n">
        <v>0</v>
      </c>
      <c r="AQ62" s="4" t="inlineStr">
        <is>
          <t>B_過渡的文体</t>
        </is>
      </c>
    </row>
    <row r="63">
      <c r="A63" s="4" t="inlineStr">
        <is>
          <t>JLIT062</t>
        </is>
      </c>
      <c r="B63" s="4" t="inlineStr">
        <is>
          <t>鴎外_大塩平八郎.txt</t>
        </is>
      </c>
      <c r="C63" s="4" t="inlineStr">
        <is>
          <t>森鴎外</t>
        </is>
      </c>
      <c r="D63" s="4" t="inlineStr">
        <is>
          <t>もり おうがい</t>
        </is>
      </c>
      <c r="E63" s="4" t="inlineStr">
        <is>
          <t>M</t>
        </is>
      </c>
      <c r="F63" s="4" t="n">
        <v>1862</v>
      </c>
      <c r="G63" s="4" t="n">
        <v>1922</v>
      </c>
      <c r="H63" s="4" t="inlineStr">
        <is>
          <t>大塩平八郎</t>
        </is>
      </c>
      <c r="I63" s="4" t="inlineStr">
        <is>
          <t>000129</t>
        </is>
      </c>
      <c r="J63" s="4" t="inlineStr">
        <is>
          <t>2298</t>
        </is>
      </c>
      <c r="K63" s="4" t="inlineStr">
        <is>
          <t>https://www.aozora.gr.jp/cards/000129/card2298.html</t>
        </is>
      </c>
      <c r="L63" s="5" t="n">
        <v>1914</v>
      </c>
      <c r="M63" s="4" t="n">
        <v>1914</v>
      </c>
      <c r="N63" s="5" t="inlineStr">
        <is>
          <t>editor</t>
        </is>
      </c>
      <c r="O63" s="4" t="inlineStr">
        <is>
          <t>4_大正(1912-1925)</t>
        </is>
      </c>
      <c r="P63" s="4" t="inlineStr">
        <is>
          <t>913</t>
        </is>
      </c>
      <c r="Q63" s="4" t="inlineStr">
        <is>
          <t>日本文学／小説・物語</t>
        </is>
      </c>
      <c r="R63" s="4" t="inlineStr">
        <is>
          <t>Fiction</t>
        </is>
      </c>
      <c r="S63" s="4" t="inlineStr">
        <is>
          <t>Historical</t>
        </is>
      </c>
      <c r="T63" s="4" t="inlineStr">
        <is>
          <t>novella</t>
        </is>
      </c>
      <c r="U63" s="4" t="inlineStr">
        <is>
          <t>general</t>
        </is>
      </c>
      <c r="V63" s="4" t="inlineStr">
        <is>
          <t>canonical</t>
        </is>
      </c>
      <c r="W63" s="4" t="inlineStr">
        <is>
          <t>third</t>
        </is>
      </c>
      <c r="X63" s="4" t="inlineStr">
        <is>
          <t>magazine</t>
        </is>
      </c>
      <c r="Y63" s="4" t="inlineStr">
        <is>
          <t>新字旧仮名</t>
        </is>
      </c>
      <c r="Z63" s="4" t="inlineStr">
        <is>
          <t>complete</t>
        </is>
      </c>
      <c r="AA63" s="4" t="inlineStr">
        <is>
          <t>初出『中央公論』1914年1月。カードに初出欄なし</t>
        </is>
      </c>
      <c r="AB63" s="4" t="n">
        <v>30555</v>
      </c>
      <c r="AC63" s="4" t="n">
        <v>4558</v>
      </c>
      <c r="AD63" s="4" t="n">
        <v>149.17</v>
      </c>
      <c r="AE63" s="4" t="n">
        <v>0.4724</v>
      </c>
      <c r="AF63" s="4" t="n">
        <v>0.0002</v>
      </c>
      <c r="AG63" s="4" t="n">
        <v>14.4</v>
      </c>
      <c r="AH63" s="4" t="n">
        <v>11.1</v>
      </c>
      <c r="AI63" s="4" t="n">
        <v>18</v>
      </c>
      <c r="AJ63" s="4" t="n">
        <v>2</v>
      </c>
      <c r="AK63" s="4" t="n">
        <v>0</v>
      </c>
      <c r="AL63" s="4" t="n">
        <v>0</v>
      </c>
      <c r="AM63" s="4" t="n">
        <v>50</v>
      </c>
      <c r="AN63" s="4" t="n">
        <v>0</v>
      </c>
      <c r="AO63" s="4" t="n">
        <v>0</v>
      </c>
      <c r="AP63" s="4" t="n">
        <v>55</v>
      </c>
      <c r="AQ63" s="4" t="inlineStr">
        <is>
          <t>C_口語体</t>
        </is>
      </c>
    </row>
    <row r="64">
      <c r="A64" s="4" t="inlineStr">
        <is>
          <t>JLIT063</t>
        </is>
      </c>
      <c r="B64" s="4" t="inlineStr">
        <is>
          <t>鴎外_渋江抽斎.txt</t>
        </is>
      </c>
      <c r="C64" s="4" t="inlineStr">
        <is>
          <t>森鴎外</t>
        </is>
      </c>
      <c r="D64" s="4" t="inlineStr">
        <is>
          <t>もり おうがい</t>
        </is>
      </c>
      <c r="E64" s="4" t="inlineStr">
        <is>
          <t>M</t>
        </is>
      </c>
      <c r="F64" s="4" t="n">
        <v>1862</v>
      </c>
      <c r="G64" s="4" t="n">
        <v>1922</v>
      </c>
      <c r="H64" s="4" t="inlineStr">
        <is>
          <t>渋江抽斎</t>
        </is>
      </c>
      <c r="I64" s="4" t="inlineStr">
        <is>
          <t>000129</t>
        </is>
      </c>
      <c r="J64" s="4" t="inlineStr">
        <is>
          <t>2058</t>
        </is>
      </c>
      <c r="K64" s="4" t="inlineStr">
        <is>
          <t>https://www.aozora.gr.jp/cards/000129/card2058.html</t>
        </is>
      </c>
      <c r="L64" s="4" t="n">
        <v>1916</v>
      </c>
      <c r="M64" s="4" t="n">
        <v>1916</v>
      </c>
      <c r="N64" s="4" t="inlineStr">
        <is>
          <t>card</t>
        </is>
      </c>
      <c r="O64" s="4" t="inlineStr">
        <is>
          <t>4_大正(1912-1925)</t>
        </is>
      </c>
      <c r="P64" s="4" t="inlineStr">
        <is>
          <t>913</t>
        </is>
      </c>
      <c r="Q64" s="4" t="inlineStr">
        <is>
          <t>日本文学／小説・物語</t>
        </is>
      </c>
      <c r="R64" s="4" t="inlineStr">
        <is>
          <t>Nonfiction</t>
        </is>
      </c>
      <c r="S64" s="4" t="inlineStr">
        <is>
          <t>Historical-Biography</t>
        </is>
      </c>
      <c r="T64" s="4" t="inlineStr">
        <is>
          <t>biography</t>
        </is>
      </c>
      <c r="U64" s="4" t="inlineStr">
        <is>
          <t>general</t>
        </is>
      </c>
      <c r="V64" s="4" t="inlineStr">
        <is>
          <t>canonical</t>
        </is>
      </c>
      <c r="W64" s="4" t="inlineStr">
        <is>
          <t>first</t>
        </is>
      </c>
      <c r="X64" s="4" t="inlineStr">
        <is>
          <t>newspaper</t>
        </is>
      </c>
      <c r="Y64" s="4" t="inlineStr">
        <is>
          <t>新字新仮名</t>
        </is>
      </c>
      <c r="Z64" s="4" t="inlineStr">
        <is>
          <t>complete</t>
        </is>
      </c>
      <c r="AA64" s="4" t="inlineStr">
        <is>
          <t>「大阪毎日新聞」「東京日日新聞」1916年1月13日〜5月17日。外字欠落17件</t>
        </is>
      </c>
      <c r="AB64" s="4" t="n">
        <v>112138</v>
      </c>
      <c r="AC64" s="4" t="n">
        <v>11143</v>
      </c>
      <c r="AD64" s="4" t="n">
        <v>99.37</v>
      </c>
      <c r="AE64" s="4" t="n">
        <v>0.4221</v>
      </c>
      <c r="AF64" s="4" t="n">
        <v>0.0029</v>
      </c>
      <c r="AG64" s="4" t="n">
        <v>22.5</v>
      </c>
      <c r="AH64" s="4" t="n">
        <v>6.7</v>
      </c>
      <c r="AI64" s="4" t="n">
        <v>26.5</v>
      </c>
      <c r="AJ64" s="4" t="n">
        <v>1.8</v>
      </c>
      <c r="AK64" s="5" t="n">
        <v>17</v>
      </c>
      <c r="AL64" s="4" t="n">
        <v>0</v>
      </c>
      <c r="AM64" s="4" t="n">
        <v>116</v>
      </c>
      <c r="AN64" s="4" t="n">
        <v>0</v>
      </c>
      <c r="AO64" s="4" t="n">
        <v>0</v>
      </c>
      <c r="AP64" s="4" t="n">
        <v>0</v>
      </c>
      <c r="AQ64" s="4" t="inlineStr">
        <is>
          <t>B_過渡的文体</t>
        </is>
      </c>
    </row>
    <row r="65">
      <c r="A65" s="4" t="inlineStr">
        <is>
          <t>JLIT064</t>
        </is>
      </c>
      <c r="B65" s="4" t="inlineStr">
        <is>
          <t>鴎外_青年.txt</t>
        </is>
      </c>
      <c r="C65" s="4" t="inlineStr">
        <is>
          <t>森鴎外</t>
        </is>
      </c>
      <c r="D65" s="4" t="inlineStr">
        <is>
          <t>もり おうがい</t>
        </is>
      </c>
      <c r="E65" s="4" t="inlineStr">
        <is>
          <t>M</t>
        </is>
      </c>
      <c r="F65" s="4" t="n">
        <v>1862</v>
      </c>
      <c r="G65" s="4" t="n">
        <v>1922</v>
      </c>
      <c r="H65" s="4" t="inlineStr">
        <is>
          <t>青年</t>
        </is>
      </c>
      <c r="I65" s="4" t="inlineStr">
        <is>
          <t>000129</t>
        </is>
      </c>
      <c r="J65" s="4" t="inlineStr">
        <is>
          <t>2522</t>
        </is>
      </c>
      <c r="K65" s="4" t="inlineStr">
        <is>
          <t>https://www.aozora.gr.jp/cards/000129/card2522.html</t>
        </is>
      </c>
      <c r="L65" s="4" t="n">
        <v>1910</v>
      </c>
      <c r="M65" s="4" t="n">
        <v>1911</v>
      </c>
      <c r="N65" s="4" t="inlineStr">
        <is>
          <t>card</t>
        </is>
      </c>
      <c r="O65" s="4" t="inlineStr">
        <is>
          <t>3_明治後期(1900-1911)</t>
        </is>
      </c>
      <c r="P65" s="4" t="inlineStr">
        <is>
          <t>913</t>
        </is>
      </c>
      <c r="Q65" s="4" t="inlineStr">
        <is>
          <t>日本文学／小説・物語</t>
        </is>
      </c>
      <c r="R65" s="4" t="inlineStr">
        <is>
          <t>Fiction</t>
        </is>
      </c>
      <c r="S65" s="4" t="inlineStr">
        <is>
          <t>Bildungsroman</t>
        </is>
      </c>
      <c r="T65" s="4" t="inlineStr">
        <is>
          <t>novel</t>
        </is>
      </c>
      <c r="U65" s="4" t="inlineStr">
        <is>
          <t>general</t>
        </is>
      </c>
      <c r="V65" s="4" t="inlineStr">
        <is>
          <t>canonical</t>
        </is>
      </c>
      <c r="W65" s="4" t="inlineStr">
        <is>
          <t>third</t>
        </is>
      </c>
      <c r="X65" s="4" t="inlineStr">
        <is>
          <t>magazine</t>
        </is>
      </c>
      <c r="Y65" s="4" t="inlineStr">
        <is>
          <t>新字新仮名</t>
        </is>
      </c>
      <c r="Z65" s="4" t="inlineStr">
        <is>
          <t>complete</t>
        </is>
      </c>
      <c r="AA65" s="4" t="inlineStr">
        <is>
          <t>【修正】「昴」1910年3月〜1911年8月。v1 の1910は開始年のみ。ラテン文字1895字（独語）</t>
        </is>
      </c>
      <c r="AB65" s="4" t="n">
        <v>79931</v>
      </c>
      <c r="AC65" s="4" t="n">
        <v>7656</v>
      </c>
      <c r="AD65" s="4" t="n">
        <v>95.78</v>
      </c>
      <c r="AE65" s="4" t="n">
        <v>0.3091</v>
      </c>
      <c r="AF65" s="4" t="n">
        <v>0.0102</v>
      </c>
      <c r="AG65" s="4" t="n">
        <v>11.5</v>
      </c>
      <c r="AH65" s="4" t="n">
        <v>54.8</v>
      </c>
      <c r="AI65" s="4" t="n">
        <v>33.7</v>
      </c>
      <c r="AJ65" s="4" t="n">
        <v>1.6</v>
      </c>
      <c r="AK65" s="5" t="n">
        <v>2</v>
      </c>
      <c r="AL65" s="4" t="n">
        <v>0</v>
      </c>
      <c r="AM65" s="4" t="n">
        <v>114</v>
      </c>
      <c r="AN65" s="4" t="n">
        <v>0</v>
      </c>
      <c r="AO65" s="4" t="n">
        <v>1895</v>
      </c>
      <c r="AP65" s="4" t="n">
        <v>0</v>
      </c>
      <c r="AQ65" s="4" t="inlineStr">
        <is>
          <t>C_口語体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95" customWidth="1" min="1" max="1"/>
    <col width="15.8" customWidth="1" min="2" max="2"/>
    <col width="34" customWidth="1" min="3" max="3"/>
    <col width="40" customWidth="1" min="4" max="4"/>
    <col width="26" customWidth="1" min="5" max="5"/>
    <col width="62" customWidth="1" min="6" max="6"/>
  </cols>
  <sheetData>
    <row r="1" ht="30" customHeight="1">
      <c r="A1" s="3" t="inlineStr">
        <is>
          <t>id</t>
        </is>
      </c>
      <c r="B1" s="3" t="inlineStr">
        <is>
          <t>列</t>
        </is>
      </c>
      <c r="C1" s="3" t="inlineStr">
        <is>
          <t>v1の値</t>
        </is>
      </c>
      <c r="D1" s="3" t="inlineStr">
        <is>
          <t>v2の値</t>
        </is>
      </c>
      <c r="E1" s="3" t="inlineStr">
        <is>
          <t>変更の種類</t>
        </is>
      </c>
      <c r="F1" s="3" t="inlineStr">
        <is>
          <t>典拠</t>
        </is>
      </c>
    </row>
    <row r="2">
      <c r="A2" s="7" t="inlineStr">
        <is>
          <t>JLIT028</t>
        </is>
      </c>
      <c r="B2" s="7" t="inlineStr">
        <is>
          <t>year</t>
        </is>
      </c>
      <c r="C2" s="7" t="n">
        <v>1977</v>
      </c>
      <c r="D2" s="7" t="n">
        <v>1935</v>
      </c>
      <c r="E2" s="7" t="inlineStr">
        <is>
          <t>誤り（底本刊年を初出年としていた）</t>
        </is>
      </c>
      <c r="F2" s="7" t="inlineStr">
        <is>
          <t>青空文庫 図書カード card43656：初出「新青年」博文館 1935年4〜5月号</t>
        </is>
      </c>
    </row>
    <row r="3">
      <c r="A3" s="7" t="inlineStr">
        <is>
          <t>JLIT039</t>
        </is>
      </c>
      <c r="B3" s="7" t="inlineStr">
        <is>
          <t>year</t>
        </is>
      </c>
      <c r="C3" s="7" t="n">
        <v>1971</v>
      </c>
      <c r="D3" s="7" t="inlineStr">
        <is>
          <t>1944–1945</t>
        </is>
      </c>
      <c r="E3" s="7" t="inlineStr">
        <is>
          <t>誤り（初刊年を初出年としていた）</t>
        </is>
      </c>
      <c r="F3" s="7" t="inlineStr">
        <is>
          <t>日記本体の執筆年。1971年は講談社版の刊年</t>
        </is>
      </c>
    </row>
    <row r="4">
      <c r="A4" s="7" t="inlineStr">
        <is>
          <t>JLIT025</t>
        </is>
      </c>
      <c r="B4" s="7" t="inlineStr">
        <is>
          <t>year</t>
        </is>
      </c>
      <c r="C4" s="7" t="n">
        <v>1927</v>
      </c>
      <c r="D4" s="7" t="inlineStr">
        <is>
          <t>1924–1926</t>
        </is>
      </c>
      <c r="E4" s="7" t="inlineStr">
        <is>
          <t>誤り（単行本年を初出年としていた）</t>
        </is>
      </c>
      <c r="F4" s="7" t="inlineStr">
        <is>
          <t>青空文庫 図書カード card2015：「改造」1924年9月〜1926年9月号</t>
        </is>
      </c>
    </row>
    <row r="5">
      <c r="A5" s="7" t="inlineStr">
        <is>
          <t>JLIT056</t>
        </is>
      </c>
      <c r="B5" s="7" t="inlineStr">
        <is>
          <t>year</t>
        </is>
      </c>
      <c r="C5" s="7" t="n">
        <v>1935</v>
      </c>
      <c r="D5" s="7" t="inlineStr">
        <is>
          <t>1929–1935</t>
        </is>
      </c>
      <c r="E5" s="7" t="inlineStr">
        <is>
          <t>不正確（完結年のみ）</t>
        </is>
      </c>
      <c r="F5" s="7" t="inlineStr">
        <is>
          <t>「中央公論」連載期間</t>
        </is>
      </c>
    </row>
    <row r="6">
      <c r="A6" s="7" t="inlineStr">
        <is>
          <t>JLIT058</t>
        </is>
      </c>
      <c r="B6" s="7" t="inlineStr">
        <is>
          <t>year</t>
        </is>
      </c>
      <c r="C6" s="7" t="n">
        <v>1919</v>
      </c>
      <c r="D6" s="7" t="inlineStr">
        <is>
          <t>1918–1919</t>
        </is>
      </c>
      <c r="E6" s="7" t="inlineStr">
        <is>
          <t>不正確（完結年のみ）</t>
        </is>
      </c>
      <c r="F6" s="7" t="inlineStr">
        <is>
          <t>青空文庫 図書カード card843：「東京朝日新聞」1918年5月1日〜1919年10月24日</t>
        </is>
      </c>
    </row>
    <row r="7">
      <c r="A7" s="7" t="inlineStr">
        <is>
          <t>JLIT064</t>
        </is>
      </c>
      <c r="B7" s="7" t="inlineStr">
        <is>
          <t>year</t>
        </is>
      </c>
      <c r="C7" s="7" t="n">
        <v>1910</v>
      </c>
      <c r="D7" s="7" t="inlineStr">
        <is>
          <t>1910–1911</t>
        </is>
      </c>
      <c r="E7" s="7" t="inlineStr">
        <is>
          <t>不正確（開始年のみ）</t>
        </is>
      </c>
      <c r="F7" s="7" t="inlineStr">
        <is>
          <t>青空文庫 図書カード card2522：「昴」1910年3月〜1911年8月</t>
        </is>
      </c>
    </row>
    <row r="8">
      <c r="A8" s="7" t="inlineStr">
        <is>
          <t>JLIT052</t>
        </is>
      </c>
      <c r="B8" s="7" t="inlineStr">
        <is>
          <t>year</t>
        </is>
      </c>
      <c r="C8" s="7" t="n">
        <v>1913</v>
      </c>
      <c r="D8" s="7" t="inlineStr">
        <is>
          <t>1912–1913</t>
        </is>
      </c>
      <c r="E8" s="7" t="inlineStr">
        <is>
          <t>不正確（完結年のみ）</t>
        </is>
      </c>
      <c r="F8" s="7" t="inlineStr">
        <is>
          <t>青空文庫 図書カード card49682：「やまと新聞」1912年11月13日〜1913年1月21日</t>
        </is>
      </c>
    </row>
    <row r="9">
      <c r="A9" s="7" t="inlineStr">
        <is>
          <t>JLIT049</t>
        </is>
      </c>
      <c r="B9" s="7" t="inlineStr">
        <is>
          <t>year</t>
        </is>
      </c>
      <c r="C9" s="7" t="n">
        <v>1917</v>
      </c>
      <c r="D9" s="7" t="inlineStr">
        <is>
          <t>1936（要確認）</t>
        </is>
      </c>
      <c r="E9" s="7" t="inlineStr">
        <is>
          <t>誤り（シリーズ開始年を個別話の年としていた）</t>
        </is>
      </c>
      <c r="F9" s="7" t="inlineStr">
        <is>
          <t>1917年は半七捕物帳シリーズ全体の開始年。第69話「白蝶怪」は後期作</t>
        </is>
      </c>
    </row>
    <row r="10">
      <c r="A10" s="7" t="inlineStr">
        <is>
          <t>JLIT034</t>
        </is>
      </c>
      <c r="B10" s="7" t="inlineStr">
        <is>
          <t>year</t>
        </is>
      </c>
      <c r="C10" s="7" t="n">
        <v>1898</v>
      </c>
      <c r="D10" s="7" t="inlineStr">
        <is>
          <t>1898–1899</t>
        </is>
      </c>
      <c r="E10" s="7" t="inlineStr">
        <is>
          <t>不正確</t>
        </is>
      </c>
      <c r="F10" s="7" t="inlineStr">
        <is>
          <t>「國民新聞」連載期間</t>
        </is>
      </c>
    </row>
    <row r="11">
      <c r="A11" s="7" t="inlineStr">
        <is>
          <t>JLIT026</t>
        </is>
      </c>
      <c r="B11" s="7" t="inlineStr">
        <is>
          <t>year</t>
        </is>
      </c>
      <c r="C11" s="7" t="n">
        <v>1947</v>
      </c>
      <c r="D11" s="7" t="inlineStr">
        <is>
          <t>1946–1947</t>
        </is>
      </c>
      <c r="E11" s="7" t="inlineStr">
        <is>
          <t>不正確</t>
        </is>
      </c>
      <c r="F11" s="7" t="inlineStr">
        <is>
          <t>「新日本文学」創刊号（1946年3月）が初出</t>
        </is>
      </c>
    </row>
    <row r="12">
      <c r="A12" s="7" t="inlineStr">
        <is>
          <t>JLIT009</t>
        </is>
      </c>
      <c r="B12" s="7" t="inlineStr">
        <is>
          <t>year</t>
        </is>
      </c>
      <c r="C12" s="7" t="n">
        <v>1944</v>
      </c>
      <c r="D12" s="7" t="inlineStr">
        <is>
          <t>1947（典拠なし）</t>
        </is>
      </c>
      <c r="E12" s="7" t="inlineStr">
        <is>
          <t>典拠不明</t>
        </is>
      </c>
      <c r="F12" s="7" t="inlineStr">
        <is>
          <t>青空文庫カードは九州書房版1947年1月30日。v1の1944の根拠が不明</t>
        </is>
      </c>
    </row>
    <row r="13">
      <c r="A13" s="7" t="inlineStr">
        <is>
          <t>JLIT036</t>
        </is>
      </c>
      <c r="B13" s="7" t="inlineStr">
        <is>
          <t>year</t>
        </is>
      </c>
      <c r="C13" s="7" t="n">
        <v>1930</v>
      </c>
      <c r="D13" s="7" t="inlineStr">
        <is>
          <t>1928–1930（初出）／1949（本文の版）</t>
        </is>
      </c>
      <c r="E13" s="7" t="inlineStr">
        <is>
          <t>概念の混同</t>
        </is>
      </c>
      <c r="F13" s="7" t="inlineStr">
        <is>
          <t>初出年と底本テクストの成立年を分離した</t>
        </is>
      </c>
    </row>
    <row r="14">
      <c r="A14" s="7" t="inlineStr">
        <is>
          <t>ALL</t>
        </is>
      </c>
      <c r="B14" s="7" t="inlineStr">
        <is>
          <t>ndc</t>
        </is>
      </c>
      <c r="C14" s="7" t="inlineStr">
        <is>
          <t>「小説、物語」等のラベル文字列</t>
        </is>
      </c>
      <c r="D14" s="7" t="inlineStr">
        <is>
          <t>913 / K913 / 914 / 915 / 289 / 370 / 180</t>
        </is>
      </c>
      <c r="E14" s="7" t="inlineStr">
        <is>
          <t>データ型の誤り</t>
        </is>
      </c>
      <c r="F14" s="7" t="inlineStr">
        <is>
          <t>青空文庫の分類欄は NDC 番号を持つ。ラベルは ndc_label 列に分離</t>
        </is>
      </c>
    </row>
    <row r="15">
      <c r="A15" s="7" t="inlineStr">
        <is>
          <t>JLIT031</t>
        </is>
      </c>
      <c r="B15" s="7" t="inlineStr">
        <is>
          <t>ndc</t>
        </is>
      </c>
      <c r="C15" s="7" t="inlineStr">
        <is>
          <t>「自己啓発？」</t>
        </is>
      </c>
      <c r="D15" s="7" t="inlineStr">
        <is>
          <t>180（仏教）</t>
        </is>
      </c>
      <c r="E15" s="7" t="inlineStr">
        <is>
          <t>分類の誤り</t>
        </is>
      </c>
      <c r="F15" s="7" t="inlineStr">
        <is>
          <t>青空文庫 図書カード card52342：NDC 180</t>
        </is>
      </c>
    </row>
    <row r="16">
      <c r="A16" s="7" t="inlineStr">
        <is>
          <t>JLIT046</t>
        </is>
      </c>
      <c r="B16" s="7" t="inlineStr">
        <is>
          <t>ndc</t>
        </is>
      </c>
      <c r="C16" s="7" t="inlineStr">
        <is>
          <t>「教育」</t>
        </is>
      </c>
      <c r="D16" s="7" t="inlineStr">
        <is>
          <t>370（教育）</t>
        </is>
      </c>
      <c r="E16" s="7" t="inlineStr">
        <is>
          <t>ラベル→番号</t>
        </is>
      </c>
      <c r="F16" s="7" t="inlineStr">
        <is>
          <t>青空文庫 図書カード card47061：NDC 370</t>
        </is>
      </c>
    </row>
    <row r="17">
      <c r="A17" s="7" t="inlineStr">
        <is>
          <t>JLIT047</t>
        </is>
      </c>
      <c r="B17" s="7" t="inlineStr">
        <is>
          <t>ndc</t>
        </is>
      </c>
      <c r="C17" s="7" t="inlineStr">
        <is>
          <t>「個人伝記」</t>
        </is>
      </c>
      <c r="D17" s="7" t="inlineStr">
        <is>
          <t>289（個人伝記）</t>
        </is>
      </c>
      <c r="E17" s="7" t="inlineStr">
        <is>
          <t>ラベル→番号</t>
        </is>
      </c>
      <c r="F17" s="7" t="inlineStr">
        <is>
          <t>青空文庫 図書カード card1864：NDC 289</t>
        </is>
      </c>
    </row>
    <row r="18">
      <c r="A18" s="7" t="inlineStr">
        <is>
          <t>JLIT054</t>
        </is>
      </c>
      <c r="B18" s="7" t="inlineStr">
        <is>
          <t>ndc</t>
        </is>
      </c>
      <c r="C18" s="7" t="inlineStr">
        <is>
          <t>「評論、エッセイ、随筆」</t>
        </is>
      </c>
      <c r="D18" s="7" t="n">
        <v>914</v>
      </c>
      <c r="E18" s="7" t="inlineStr">
        <is>
          <t>ラベル→番号</t>
        </is>
      </c>
      <c r="F18" s="7" t="inlineStr">
        <is>
          <t>青空文庫 図書カード card26：NDC 914</t>
        </is>
      </c>
    </row>
    <row r="19">
      <c r="A19" s="7" t="inlineStr">
        <is>
          <t>JLIT055</t>
        </is>
      </c>
      <c r="B19" s="7" t="inlineStr">
        <is>
          <t>ndc</t>
        </is>
      </c>
      <c r="C19" s="7" t="inlineStr">
        <is>
          <t>「評論、エッセイ、随筆」</t>
        </is>
      </c>
      <c r="D19" s="7" t="n">
        <v>914</v>
      </c>
      <c r="E19" s="7" t="inlineStr">
        <is>
          <t>ラベル→番号</t>
        </is>
      </c>
      <c r="F19" s="7" t="inlineStr">
        <is>
          <t>青空文庫 図書カード card1503：NDC 914</t>
        </is>
      </c>
    </row>
    <row r="20">
      <c r="A20" s="7" t="inlineStr">
        <is>
          <t>JLIT039</t>
        </is>
      </c>
      <c r="B20" s="7" t="inlineStr">
        <is>
          <t>ndc</t>
        </is>
      </c>
      <c r="C20" s="7" t="inlineStr">
        <is>
          <t>「日記、書簡、紀行」</t>
        </is>
      </c>
      <c r="D20" s="7" t="n">
        <v>915</v>
      </c>
      <c r="E20" s="7" t="inlineStr">
        <is>
          <t>ラベル→番号</t>
        </is>
      </c>
      <c r="F20" s="7" t="inlineStr">
        <is>
          <t>青空文庫 図書カード card1255：NDC 915</t>
        </is>
      </c>
    </row>
    <row r="21">
      <c r="A21" s="7" t="inlineStr">
        <is>
          <t>児童書7件</t>
        </is>
      </c>
      <c r="B21" s="7" t="inlineStr">
        <is>
          <t>ndc</t>
        </is>
      </c>
      <c r="C21" s="7" t="inlineStr">
        <is>
          <t>「小説、物語 (児童書)」</t>
        </is>
      </c>
      <c r="D21" s="7" t="inlineStr">
        <is>
          <t>K913</t>
        </is>
      </c>
      <c r="E21" s="7" t="inlineStr">
        <is>
          <t>ラベル→番号</t>
        </is>
      </c>
      <c r="F21" s="7" t="inlineStr">
        <is>
          <t>青空文庫は児童書に K 接頭辞付き NDC を与える</t>
        </is>
      </c>
    </row>
    <row r="22">
      <c r="A22" s="7" t="inlineStr">
        <is>
          <t>ALL</t>
        </is>
      </c>
      <c r="B22" s="7" t="inlineStr">
        <is>
          <t>genre</t>
        </is>
      </c>
      <c r="C22" s="7" t="inlineStr">
        <is>
          <t>英語ラベル・日本語ラベル・別題・誤綴の混在</t>
        </is>
      </c>
      <c r="D22" s="7" t="inlineStr">
        <is>
          <t>genre_main / genre_sub の2層統制語彙</t>
        </is>
      </c>
      <c r="E22" s="7" t="inlineStr">
        <is>
          <t>語彙統制</t>
        </is>
      </c>
      <c r="F22" s="7" t="inlineStr">
        <is>
          <t>'Histrical novel'（誤綴）, '（二十世紀鉄仮面）'（別題）, '怪奇'（日本語）等を整理</t>
        </is>
      </c>
    </row>
    <row r="23">
      <c r="A23" s="7" t="inlineStr">
        <is>
          <t>JLIT011</t>
        </is>
      </c>
      <c r="B23" s="7" t="inlineStr">
        <is>
          <t>genre</t>
        </is>
      </c>
      <c r="C23" s="7" t="inlineStr">
        <is>
          <t>Experimental?</t>
        </is>
      </c>
      <c r="D23" s="7" t="inlineStr">
        <is>
          <t>Fiction / Modern（form=cycle）</t>
        </is>
      </c>
      <c r="E23" s="7" t="inlineStr">
        <is>
          <t>分類の誤り</t>
        </is>
      </c>
      <c r="F23" s="7" t="inlineStr">
        <is>
          <t>「金銭無情」「失恋難」「夜の王様」「王様失脚」4篇の連作。実験小説ではない</t>
        </is>
      </c>
    </row>
    <row r="24">
      <c r="A24" s="7" t="inlineStr">
        <is>
          <t>JLIT023</t>
        </is>
      </c>
      <c r="B24" s="7" t="inlineStr">
        <is>
          <t>genre</t>
        </is>
      </c>
      <c r="C24" s="7" t="inlineStr">
        <is>
          <t>超現実主義的</t>
        </is>
      </c>
      <c r="D24" s="7" t="inlineStr">
        <is>
          <t>Fiction / Experimental（narration=dialogue）</t>
        </is>
      </c>
      <c r="E24" s="7" t="inlineStr">
        <is>
          <t>記述の精密化</t>
        </is>
      </c>
      <c r="F24" s="7" t="inlineStr">
        <is>
          <t>全篇対話体である点を narration 列で表現</t>
        </is>
      </c>
    </row>
    <row r="25">
      <c r="A25" s="7" t="inlineStr">
        <is>
          <t>JLIT028</t>
        </is>
      </c>
      <c r="B25" s="7" t="inlineStr">
        <is>
          <t>genre</t>
        </is>
      </c>
      <c r="C25" s="7" t="inlineStr">
        <is>
          <t>（二十世紀鉄仮面）</t>
        </is>
      </c>
      <c r="D25" s="7" t="inlineStr">
        <is>
          <t>Fiction / Detective</t>
        </is>
      </c>
      <c r="E25" s="7" t="inlineStr">
        <is>
          <t>別題の混入</t>
        </is>
      </c>
      <c r="F25" s="7" t="inlineStr">
        <is>
          <t>「二十世紀鉄仮面」は改題。genre 列に入るべきものではない</t>
        </is>
      </c>
    </row>
    <row r="26">
      <c r="A26" s="7" t="inlineStr">
        <is>
          <t>JLIT013</t>
        </is>
      </c>
      <c r="B26" s="7" t="inlineStr">
        <is>
          <t>genre</t>
        </is>
      </c>
      <c r="C26" s="7" t="inlineStr">
        <is>
          <t>小説、物語</t>
        </is>
      </c>
      <c r="D26" s="7" t="inlineStr">
        <is>
          <t>Fiction / Modern</t>
        </is>
      </c>
      <c r="E26" s="7" t="inlineStr">
        <is>
          <t>ndc ラベルの混入</t>
        </is>
      </c>
      <c r="F26" s="7" t="inlineStr">
        <is>
          <t>genre 列に NDC ラベルが入っていた</t>
        </is>
      </c>
    </row>
    <row r="27">
      <c r="A27" s="7" t="inlineStr">
        <is>
          <t>JLIT061/62/63</t>
        </is>
      </c>
      <c r="B27" s="7" t="inlineStr">
        <is>
          <t>genre</t>
        </is>
      </c>
      <c r="C27" s="7" t="inlineStr">
        <is>
          <t>Histrical novel</t>
        </is>
      </c>
      <c r="D27" s="7" t="inlineStr">
        <is>
          <t>Fiction|Nonfiction / Historical(-Biography)</t>
        </is>
      </c>
      <c r="E27" s="7" t="inlineStr">
        <is>
          <t>誤綴の訂正と再分類</t>
        </is>
      </c>
      <c r="F27" s="7" t="inlineStr">
        <is>
          <t>『伊沢蘭軒』『渋江抽斎』は史伝＝Nonfiction、『大塩平八郎』は歴史小説</t>
        </is>
      </c>
    </row>
    <row r="28">
      <c r="A28" s="7" t="inlineStr">
        <is>
          <t>ALL</t>
        </is>
      </c>
      <c r="B28" s="7" t="inlineStr">
        <is>
          <t>comments</t>
        </is>
      </c>
      <c r="C28" s="7" t="inlineStr">
        <is>
          <t>語り・叢書形態・文体注記の混在</t>
        </is>
      </c>
      <c r="D28" s="7" t="inlineStr">
        <is>
          <t>narration / form / style_class / note に分解</t>
        </is>
      </c>
      <c r="E28" s="7" t="inlineStr">
        <is>
          <t>構造化</t>
        </is>
      </c>
      <c r="F28" s="7" t="inlineStr">
        <is>
          <t>「現代、独白」→narration=first、「Collection」→form=collection、「Colloquial」→style_class</t>
        </is>
      </c>
    </row>
    <row r="29">
      <c r="A29" s="7" t="inlineStr">
        <is>
          <t>ALL</t>
        </is>
      </c>
      <c r="B29" s="7" t="inlineStr">
        <is>
          <t>brow</t>
        </is>
      </c>
      <c r="C29" s="7" t="inlineStr">
        <is>
          <t>high / low の二値</t>
        </is>
      </c>
      <c r="D29" s="7" t="inlineStr">
        <is>
          <t>register_level: canonical / middlebrow / popular / documentary ＋ audience: general / juvenile</t>
        </is>
      </c>
      <c r="E29" s="7" t="inlineStr">
        <is>
          <t>尺度の再設計</t>
        </is>
      </c>
      <c r="F29" s="7" t="inlineStr">
        <is>
          <t>児童書とノンフィクションが high/low に押し込まれていた</t>
        </is>
      </c>
    </row>
    <row r="30">
      <c r="A30" s="8" t="inlineStr">
        <is>
          <t>JLIT004</t>
        </is>
      </c>
      <c r="B30" s="8" t="inlineStr">
        <is>
          <t>completeness</t>
        </is>
      </c>
      <c r="C30" s="8" t="inlineStr">
        <is>
          <t>—</t>
        </is>
      </c>
      <c r="D30" s="8" t="inlineStr">
        <is>
          <t>DUPLICATE</t>
        </is>
      </c>
      <c r="E30" s="8" t="inlineStr">
        <is>
          <t>【重大】本文の取り違え</t>
        </is>
      </c>
      <c r="F30" s="8" t="inlineStr">
        <is>
          <t>乱歩_灰色の巨人.txt の本文は『魔法博士』と同一（8-gram 一致率45.3%、冒頭完全一致）</t>
        </is>
      </c>
    </row>
    <row r="31">
      <c r="A31" s="7" t="inlineStr">
        <is>
          <t>JLIT004</t>
        </is>
      </c>
      <c r="B31" s="7" t="inlineStr">
        <is>
          <t>completeness</t>
        </is>
      </c>
      <c r="C31" s="7" t="inlineStr">
        <is>
          <t>DUPLICATE</t>
        </is>
      </c>
      <c r="D31" s="7" t="inlineStr">
        <is>
          <t>complete</t>
        </is>
      </c>
      <c r="E31" s="7" t="inlineStr">
        <is>
          <t>【解消】カード56676から取り直し</t>
        </is>
      </c>
      <c r="F31" s="7" t="inlineStr">
        <is>
          <t>全29章（「志摩の女王」〜「怪人のさいご」）。56679『魔法博士』との文字12-gram 一致率 0.0009</t>
        </is>
      </c>
    </row>
    <row r="32">
      <c r="A32" s="8" t="inlineStr">
        <is>
          <t>JLIT057</t>
        </is>
      </c>
      <c r="B32" s="8" t="inlineStr">
        <is>
          <t>completeness</t>
        </is>
      </c>
      <c r="C32" s="8" t="inlineStr">
        <is>
          <t>—</t>
        </is>
      </c>
      <c r="D32" s="8" t="inlineStr">
        <is>
          <t>PARTIAL</t>
        </is>
      </c>
      <c r="E32" s="8" t="inlineStr">
        <is>
          <t>【重大】不完全収録</t>
        </is>
      </c>
      <c r="F32" s="8" t="inlineStr">
        <is>
          <t>『家』は下巻のみ。上巻（card1509）が欠落</t>
        </is>
      </c>
    </row>
    <row r="33">
      <c r="A33" s="7" t="inlineStr">
        <is>
          <t>JLIT057</t>
        </is>
      </c>
      <c r="B33" s="7" t="inlineStr">
        <is>
          <t>completeness</t>
        </is>
      </c>
      <c r="C33" s="7" t="inlineStr">
        <is>
          <t>PARTIAL</t>
        </is>
      </c>
      <c r="D33" s="7" t="inlineStr">
        <is>
          <t>part</t>
        </is>
      </c>
      <c r="E33" s="7" t="inlineStr">
        <is>
          <t>【解消】上巻を増補</t>
        </is>
      </c>
      <c r="F33" s="7" t="inlineStr">
        <is>
          <t>card1509 を取得。上下そろったので欠落ではなく分冊</t>
        </is>
      </c>
    </row>
    <row r="34">
      <c r="A34" s="7" t="inlineStr">
        <is>
          <t>JLIT056</t>
        </is>
      </c>
      <c r="B34" s="7" t="inlineStr">
        <is>
          <t>completeness</t>
        </is>
      </c>
      <c r="C34" s="7" t="inlineStr">
        <is>
          <t>complete</t>
        </is>
      </c>
      <c r="D34" s="7" t="inlineStr">
        <is>
          <t>superseded</t>
        </is>
      </c>
      <c r="E34" s="7" t="inlineStr">
        <is>
          <t>二重計上の回避</t>
        </is>
      </c>
      <c r="F34" s="7" t="inlineStr">
        <is>
          <t>v1 の合本。増補で 001504〜001507 を分冊ごとに取り直したので集計から外す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7" customWidth="1" min="1" max="1"/>
    <col width="8.899999999999999" customWidth="1" min="2" max="2"/>
    <col width="8" customWidth="1" min="3" max="3"/>
    <col width="12.35" customWidth="1" min="4" max="4"/>
    <col width="20.4" customWidth="1" min="5" max="5"/>
    <col width="14.65" customWidth="1" min="6" max="6"/>
    <col width="13.5" customWidth="1" min="7" max="7"/>
    <col width="15.8" customWidth="1" min="8" max="8"/>
    <col width="14.65" customWidth="1" min="9" max="9"/>
    <col width="12.35" customWidth="1" min="10" max="10"/>
    <col width="12.35" customWidth="1" min="11" max="11"/>
    <col width="15.8" customWidth="1" min="12" max="12"/>
    <col width="15.8" customWidth="1" min="13" max="13"/>
    <col width="16.95" customWidth="1" min="14" max="14"/>
    <col width="13.5" customWidth="1" min="15" max="15"/>
    <col width="14.65" customWidth="1" min="16" max="16"/>
    <col width="16.95" customWidth="1" min="17" max="17"/>
  </cols>
  <sheetData>
    <row r="1" ht="30" customHeight="1">
      <c r="A1" s="3" t="inlineStr">
        <is>
          <t>file</t>
        </is>
      </c>
      <c r="B1" s="3" t="inlineStr">
        <is>
          <t>tokens</t>
        </is>
      </c>
      <c r="C1" s="3" t="inlineStr">
        <is>
          <t>types</t>
        </is>
      </c>
      <c r="D1" s="3" t="inlineStr">
        <is>
          <t>ttr_x1000</t>
        </is>
      </c>
      <c r="E1" s="3" t="inlineStr">
        <is>
          <t>mean_sent_tokens</t>
        </is>
      </c>
      <c r="F1" s="3" t="inlineStr">
        <is>
          <t>kanji_ratio</t>
        </is>
      </c>
      <c r="G1" s="3" t="inlineStr">
        <is>
          <t>kata_ratio</t>
        </is>
      </c>
      <c r="H1" s="3" t="inlineStr">
        <is>
          <t>bungo_per10k</t>
        </is>
      </c>
      <c r="I1" s="3" t="inlineStr">
        <is>
          <t>kogo_per10k</t>
        </is>
      </c>
      <c r="J1" s="3" t="inlineStr">
        <is>
          <t>p1_per10k</t>
        </is>
      </c>
      <c r="K1" s="3" t="inlineStr">
        <is>
          <t>p3_per10k</t>
        </is>
      </c>
      <c r="L1" s="3" t="inlineStr">
        <is>
          <t>gaiji_marker</t>
        </is>
      </c>
      <c r="M1" s="3" t="inlineStr">
        <is>
          <t>kana_odoriji</t>
        </is>
      </c>
      <c r="N1" s="3" t="inlineStr">
        <is>
          <t>kanji_odoriji</t>
        </is>
      </c>
      <c r="O1" s="3" t="inlineStr">
        <is>
          <t>ditto_mark</t>
        </is>
      </c>
      <c r="P1" s="3" t="inlineStr">
        <is>
          <t>latin_chars</t>
        </is>
      </c>
      <c r="Q1" s="3" t="inlineStr">
        <is>
          <t>arabic_digits</t>
        </is>
      </c>
    </row>
    <row r="2">
      <c r="A2" s="4" t="inlineStr">
        <is>
          <t>中島敦_光と風と夢.txt</t>
        </is>
      </c>
      <c r="B2" s="4" t="n">
        <v>50346</v>
      </c>
      <c r="C2" s="4" t="n">
        <v>7266</v>
      </c>
      <c r="D2" s="4" t="n">
        <v>144.32</v>
      </c>
      <c r="E2" s="4" t="n">
        <v>19.54</v>
      </c>
      <c r="F2" s="4" t="n">
        <v>0.3514</v>
      </c>
      <c r="G2" s="4" t="n">
        <v>0.0838</v>
      </c>
      <c r="H2" s="4" t="n">
        <v>25.2</v>
      </c>
      <c r="I2" s="4" t="n">
        <v>15.3</v>
      </c>
      <c r="J2" s="4" t="n">
        <v>91.8</v>
      </c>
      <c r="K2" s="4" t="n">
        <v>44.5</v>
      </c>
      <c r="L2" s="4" t="n">
        <v>0</v>
      </c>
      <c r="M2" s="4" t="n">
        <v>0</v>
      </c>
      <c r="N2" s="4" t="n">
        <v>196</v>
      </c>
      <c r="O2" s="4" t="n">
        <v>0</v>
      </c>
      <c r="P2" s="4" t="n">
        <v>235</v>
      </c>
      <c r="Q2" s="4" t="n">
        <v>0</v>
      </c>
    </row>
    <row r="3">
      <c r="A3" s="4" t="inlineStr">
        <is>
          <t>乱歩_宇宙怪人.txt</t>
        </is>
      </c>
      <c r="B3" s="4" t="n">
        <v>53728</v>
      </c>
      <c r="C3" s="4" t="n">
        <v>3959</v>
      </c>
      <c r="D3" s="4" t="n">
        <v>73.69</v>
      </c>
      <c r="E3" s="4" t="n">
        <v>19.43</v>
      </c>
      <c r="F3" s="4" t="n">
        <v>0.138</v>
      </c>
      <c r="G3" s="4" t="n">
        <v>0.0486</v>
      </c>
      <c r="H3" s="4" t="n">
        <v>14</v>
      </c>
      <c r="I3" s="4" t="n">
        <v>212.2</v>
      </c>
      <c r="J3" s="4" t="n">
        <v>13.6</v>
      </c>
      <c r="K3" s="4" t="n">
        <v>1.1</v>
      </c>
      <c r="L3" s="4" t="n">
        <v>0</v>
      </c>
      <c r="M3" s="4" t="n">
        <v>0</v>
      </c>
      <c r="N3" s="4" t="n">
        <v>36</v>
      </c>
      <c r="O3" s="4" t="n">
        <v>0</v>
      </c>
      <c r="P3" s="4" t="n">
        <v>0</v>
      </c>
      <c r="Q3" s="4" t="n">
        <v>0</v>
      </c>
    </row>
    <row r="4">
      <c r="A4" s="4" t="inlineStr">
        <is>
          <t>乱歩_少年探偵団.txt</t>
        </is>
      </c>
      <c r="B4" s="4" t="n">
        <v>59938</v>
      </c>
      <c r="C4" s="4" t="n">
        <v>4946</v>
      </c>
      <c r="D4" s="4" t="n">
        <v>82.52</v>
      </c>
      <c r="E4" s="4" t="n">
        <v>20.94</v>
      </c>
      <c r="F4" s="4" t="n">
        <v>0.175</v>
      </c>
      <c r="G4" s="4" t="n">
        <v>0.024</v>
      </c>
      <c r="H4" s="4" t="n">
        <v>17.4</v>
      </c>
      <c r="I4" s="4" t="n">
        <v>227.4</v>
      </c>
      <c r="J4" s="4" t="n">
        <v>18.7</v>
      </c>
      <c r="K4" s="4" t="n">
        <v>2.7</v>
      </c>
      <c r="L4" s="4" t="n">
        <v>0</v>
      </c>
      <c r="M4" s="4" t="n">
        <v>0</v>
      </c>
      <c r="N4" s="4" t="n">
        <v>30</v>
      </c>
      <c r="O4" s="4" t="n">
        <v>0</v>
      </c>
      <c r="P4" s="4" t="n">
        <v>32</v>
      </c>
      <c r="Q4" s="4" t="n">
        <v>5</v>
      </c>
    </row>
    <row r="5">
      <c r="A5" s="4" t="inlineStr">
        <is>
          <t>乱歩_灰色の巨人.txt</t>
        </is>
      </c>
      <c r="B5" s="4" t="n">
        <v>46258</v>
      </c>
      <c r="C5" s="4" t="n">
        <v>3205</v>
      </c>
      <c r="D5" s="4" t="n">
        <v>69.29000000000001</v>
      </c>
      <c r="E5" s="4" t="n">
        <v>17.64</v>
      </c>
      <c r="F5" s="4" t="n">
        <v>0.1443</v>
      </c>
      <c r="G5" s="4" t="n">
        <v>0.0415</v>
      </c>
      <c r="H5" s="4" t="n">
        <v>13.8</v>
      </c>
      <c r="I5" s="4" t="n">
        <v>216</v>
      </c>
      <c r="J5" s="4" t="n">
        <v>19.9</v>
      </c>
      <c r="K5" s="4" t="n">
        <v>0.6</v>
      </c>
      <c r="L5" s="4" t="n">
        <v>0</v>
      </c>
      <c r="M5" s="4" t="n">
        <v>0</v>
      </c>
      <c r="N5" s="4" t="n">
        <v>6</v>
      </c>
      <c r="O5" s="4" t="n">
        <v>0</v>
      </c>
      <c r="P5" s="4" t="n">
        <v>30</v>
      </c>
      <c r="Q5" s="4" t="n">
        <v>0</v>
      </c>
    </row>
    <row r="6">
      <c r="A6" s="4" t="inlineStr">
        <is>
          <t>乱歩_魔法博士.txt</t>
        </is>
      </c>
      <c r="B6" s="4" t="n">
        <v>46152</v>
      </c>
      <c r="C6" s="4" t="n">
        <v>3204</v>
      </c>
      <c r="D6" s="4" t="n">
        <v>69.42</v>
      </c>
      <c r="E6" s="4" t="n">
        <v>17.6</v>
      </c>
      <c r="F6" s="4" t="n">
        <v>0.1443</v>
      </c>
      <c r="G6" s="4" t="n">
        <v>0.0414</v>
      </c>
      <c r="H6" s="4" t="n">
        <v>13.9</v>
      </c>
      <c r="I6" s="4" t="n">
        <v>216.5</v>
      </c>
      <c r="J6" s="4" t="n">
        <v>19.9</v>
      </c>
      <c r="K6" s="4" t="n">
        <v>0.7</v>
      </c>
      <c r="L6" s="4" t="n">
        <v>0</v>
      </c>
      <c r="M6" s="4" t="n">
        <v>0</v>
      </c>
      <c r="N6" s="4" t="n">
        <v>6</v>
      </c>
      <c r="O6" s="4" t="n">
        <v>0</v>
      </c>
      <c r="P6" s="4" t="n">
        <v>30</v>
      </c>
      <c r="Q6" s="4" t="n">
        <v>0</v>
      </c>
    </row>
    <row r="7">
      <c r="A7" s="4" t="inlineStr">
        <is>
          <t>啄木_鳥影.txt</t>
        </is>
      </c>
      <c r="B7" s="4" t="n">
        <v>60529</v>
      </c>
      <c r="C7" s="4" t="n">
        <v>5985</v>
      </c>
      <c r="D7" s="4" t="n">
        <v>98.88</v>
      </c>
      <c r="E7" s="4" t="n">
        <v>17.38</v>
      </c>
      <c r="F7" s="4" t="n">
        <v>0.3676</v>
      </c>
      <c r="G7" s="4" t="n">
        <v>0.0234</v>
      </c>
      <c r="H7" s="4" t="n">
        <v>11.9</v>
      </c>
      <c r="I7" s="4" t="n">
        <v>65.90000000000001</v>
      </c>
      <c r="J7" s="4" t="n">
        <v>43.5</v>
      </c>
      <c r="K7" s="4" t="n">
        <v>6.8</v>
      </c>
      <c r="L7" s="4" t="n">
        <v>10</v>
      </c>
      <c r="M7" s="4" t="n">
        <v>75</v>
      </c>
      <c r="N7" s="4" t="n">
        <v>147</v>
      </c>
      <c r="O7" s="4" t="n">
        <v>0</v>
      </c>
      <c r="P7" s="4" t="n">
        <v>43</v>
      </c>
      <c r="Q7" s="4" t="n">
        <v>0</v>
      </c>
    </row>
    <row r="8">
      <c r="A8" s="4" t="inlineStr">
        <is>
          <t>坂口安吾_JIRORIの女.txt</t>
        </is>
      </c>
      <c r="B8" s="4" t="n">
        <v>31495</v>
      </c>
      <c r="C8" s="4" t="n">
        <v>4433</v>
      </c>
      <c r="D8" s="4" t="n">
        <v>140.75</v>
      </c>
      <c r="E8" s="4" t="n">
        <v>21.5</v>
      </c>
      <c r="F8" s="4" t="n">
        <v>0.2396</v>
      </c>
      <c r="G8" s="4" t="n">
        <v>0.0587</v>
      </c>
      <c r="H8" s="4" t="n">
        <v>23.5</v>
      </c>
      <c r="I8" s="4" t="n">
        <v>138.8</v>
      </c>
      <c r="J8" s="4" t="n">
        <v>218.1</v>
      </c>
      <c r="K8" s="4" t="n">
        <v>6.4</v>
      </c>
      <c r="L8" s="4" t="n">
        <v>0</v>
      </c>
      <c r="M8" s="4" t="n">
        <v>0</v>
      </c>
      <c r="N8" s="4" t="n">
        <v>74</v>
      </c>
      <c r="O8" s="4" t="n">
        <v>0</v>
      </c>
      <c r="P8" s="4" t="n">
        <v>1</v>
      </c>
      <c r="Q8" s="4" t="n">
        <v>0</v>
      </c>
    </row>
    <row r="9">
      <c r="A9" s="4" t="inlineStr">
        <is>
          <t>坂口安吾_不連続殺人.txt</t>
        </is>
      </c>
      <c r="B9" s="4" t="n">
        <v>99434</v>
      </c>
      <c r="C9" s="4" t="n">
        <v>8859</v>
      </c>
      <c r="D9" s="4" t="n">
        <v>89.09</v>
      </c>
      <c r="E9" s="4" t="n">
        <v>19.19</v>
      </c>
      <c r="F9" s="4" t="n">
        <v>0.2728</v>
      </c>
      <c r="G9" s="4" t="n">
        <v>0.0516</v>
      </c>
      <c r="H9" s="4" t="n">
        <v>22.8</v>
      </c>
      <c r="I9" s="4" t="n">
        <v>161.9</v>
      </c>
      <c r="J9" s="4" t="n">
        <v>67.90000000000001</v>
      </c>
      <c r="K9" s="4" t="n">
        <v>11</v>
      </c>
      <c r="L9" s="4" t="n">
        <v>0</v>
      </c>
      <c r="M9" s="4" t="n">
        <v>0</v>
      </c>
      <c r="N9" s="4" t="n">
        <v>316</v>
      </c>
      <c r="O9" s="4" t="n">
        <v>0</v>
      </c>
      <c r="P9" s="4" t="n">
        <v>55</v>
      </c>
      <c r="Q9" s="4" t="n">
        <v>1</v>
      </c>
    </row>
    <row r="10">
      <c r="A10" s="4" t="inlineStr">
        <is>
          <t>坂口安吾_二流の人.txt</t>
        </is>
      </c>
      <c r="B10" s="4" t="n">
        <v>35975</v>
      </c>
      <c r="C10" s="4" t="n">
        <v>5817</v>
      </c>
      <c r="D10" s="4" t="n">
        <v>161.7</v>
      </c>
      <c r="E10" s="4" t="n">
        <v>26.85</v>
      </c>
      <c r="F10" s="4" t="n">
        <v>0.3936</v>
      </c>
      <c r="G10" s="4" t="n">
        <v>0.0145</v>
      </c>
      <c r="H10" s="4" t="n">
        <v>27</v>
      </c>
      <c r="I10" s="4" t="n">
        <v>12.2</v>
      </c>
      <c r="J10" s="4" t="n">
        <v>29.7</v>
      </c>
      <c r="K10" s="4" t="n">
        <v>34.2</v>
      </c>
      <c r="L10" s="4" t="n">
        <v>0</v>
      </c>
      <c r="M10" s="4" t="n">
        <v>0</v>
      </c>
      <c r="N10" s="4" t="n">
        <v>106</v>
      </c>
      <c r="O10" s="4" t="n">
        <v>0</v>
      </c>
      <c r="P10" s="4" t="n">
        <v>0</v>
      </c>
      <c r="Q10" s="4" t="n">
        <v>0</v>
      </c>
    </row>
    <row r="11">
      <c r="A11" s="4" t="inlineStr">
        <is>
          <t>坂口安吾_復員殺人.txt</t>
        </is>
      </c>
      <c r="B11" s="4" t="n">
        <v>60197</v>
      </c>
      <c r="C11" s="4" t="n">
        <v>6077</v>
      </c>
      <c r="D11" s="4" t="n">
        <v>100.95</v>
      </c>
      <c r="E11" s="4" t="n">
        <v>15.96</v>
      </c>
      <c r="F11" s="4" t="n">
        <v>0.2695</v>
      </c>
      <c r="G11" s="4" t="n">
        <v>0.053</v>
      </c>
      <c r="H11" s="4" t="n">
        <v>28.7</v>
      </c>
      <c r="I11" s="4" t="n">
        <v>179.2</v>
      </c>
      <c r="J11" s="4" t="n">
        <v>45.8</v>
      </c>
      <c r="K11" s="4" t="n">
        <v>18.4</v>
      </c>
      <c r="L11" s="4" t="n">
        <v>1</v>
      </c>
      <c r="M11" s="4" t="n">
        <v>0</v>
      </c>
      <c r="N11" s="4" t="n">
        <v>111</v>
      </c>
      <c r="O11" s="4" t="n">
        <v>0</v>
      </c>
      <c r="P11" s="4" t="n">
        <v>0</v>
      </c>
      <c r="Q11" s="4" t="n">
        <v>0</v>
      </c>
    </row>
    <row r="12">
      <c r="A12" s="4" t="inlineStr">
        <is>
          <t>坂口安吾_金銭無情.txt</t>
        </is>
      </c>
      <c r="B12" s="4" t="n">
        <v>49097</v>
      </c>
      <c r="C12" s="4" t="n">
        <v>6146</v>
      </c>
      <c r="D12" s="4" t="n">
        <v>125.18</v>
      </c>
      <c r="E12" s="4" t="n">
        <v>22.3</v>
      </c>
      <c r="F12" s="4" t="n">
        <v>0.255</v>
      </c>
      <c r="G12" s="4" t="n">
        <v>0.07049999999999999</v>
      </c>
      <c r="H12" s="4" t="n">
        <v>29.5</v>
      </c>
      <c r="I12" s="4" t="n">
        <v>67.40000000000001</v>
      </c>
      <c r="J12" s="4" t="n">
        <v>51.1</v>
      </c>
      <c r="K12" s="4" t="n">
        <v>22.4</v>
      </c>
      <c r="L12" s="4" t="n">
        <v>0</v>
      </c>
      <c r="M12" s="4" t="n">
        <v>1</v>
      </c>
      <c r="N12" s="4" t="n">
        <v>79</v>
      </c>
      <c r="O12" s="4" t="n">
        <v>0</v>
      </c>
      <c r="P12" s="4" t="n">
        <v>8</v>
      </c>
      <c r="Q12" s="4" t="n">
        <v>0</v>
      </c>
    </row>
    <row r="13">
      <c r="A13" s="4" t="inlineStr">
        <is>
          <t>壷井栄_二十四の瞳.txt</t>
        </is>
      </c>
      <c r="B13" s="4" t="n">
        <v>67800</v>
      </c>
      <c r="C13" s="4" t="n">
        <v>6455</v>
      </c>
      <c r="D13" s="4" t="n">
        <v>95.20999999999999</v>
      </c>
      <c r="E13" s="4" t="n">
        <v>36.28</v>
      </c>
      <c r="F13" s="4" t="n">
        <v>0.1826</v>
      </c>
      <c r="G13" s="4" t="n">
        <v>0.022</v>
      </c>
      <c r="H13" s="4" t="n">
        <v>19.6</v>
      </c>
      <c r="I13" s="4" t="n">
        <v>76.8</v>
      </c>
      <c r="J13" s="4" t="n">
        <v>14</v>
      </c>
      <c r="K13" s="4" t="n">
        <v>17.3</v>
      </c>
      <c r="L13" s="4" t="n">
        <v>0</v>
      </c>
      <c r="M13" s="4" t="n">
        <v>0</v>
      </c>
      <c r="N13" s="4" t="n">
        <v>21</v>
      </c>
      <c r="O13" s="4" t="n">
        <v>0</v>
      </c>
      <c r="P13" s="4" t="n">
        <v>4</v>
      </c>
      <c r="Q13" s="4" t="n">
        <v>0</v>
      </c>
    </row>
    <row r="14">
      <c r="A14" s="4" t="inlineStr">
        <is>
          <t>壷井栄_妻の座.txt</t>
        </is>
      </c>
      <c r="B14" s="4" t="n">
        <v>51377</v>
      </c>
      <c r="C14" s="4" t="n">
        <v>5523</v>
      </c>
      <c r="D14" s="4" t="n">
        <v>107.5</v>
      </c>
      <c r="E14" s="4" t="n">
        <v>76.68000000000001</v>
      </c>
      <c r="F14" s="4" t="n">
        <v>0.2232</v>
      </c>
      <c r="G14" s="4" t="n">
        <v>0.024</v>
      </c>
      <c r="H14" s="4" t="n">
        <v>21.2</v>
      </c>
      <c r="I14" s="4" t="n">
        <v>69.09999999999999</v>
      </c>
      <c r="J14" s="4" t="n">
        <v>39.9</v>
      </c>
      <c r="K14" s="4" t="n">
        <v>11.1</v>
      </c>
      <c r="L14" s="4" t="n">
        <v>0</v>
      </c>
      <c r="M14" s="4" t="n">
        <v>0</v>
      </c>
      <c r="N14" s="4" t="n">
        <v>51</v>
      </c>
      <c r="O14" s="4" t="n">
        <v>0</v>
      </c>
      <c r="P14" s="4" t="n">
        <v>2</v>
      </c>
      <c r="Q14" s="4" t="n">
        <v>0</v>
      </c>
    </row>
    <row r="15">
      <c r="A15" s="4" t="inlineStr">
        <is>
          <t>多喜二_不在地主.txt</t>
        </is>
      </c>
      <c r="B15" s="4" t="n">
        <v>44523</v>
      </c>
      <c r="C15" s="4" t="n">
        <v>5180</v>
      </c>
      <c r="D15" s="4" t="n">
        <v>116.34</v>
      </c>
      <c r="E15" s="4" t="n">
        <v>15.9</v>
      </c>
      <c r="F15" s="4" t="n">
        <v>0.2934</v>
      </c>
      <c r="G15" s="4" t="n">
        <v>0.037</v>
      </c>
      <c r="H15" s="4" t="n">
        <v>22.7</v>
      </c>
      <c r="I15" s="4" t="n">
        <v>29.9</v>
      </c>
      <c r="J15" s="4" t="n">
        <v>28.1</v>
      </c>
      <c r="K15" s="4" t="n">
        <v>1.3</v>
      </c>
      <c r="L15" s="4" t="n">
        <v>27</v>
      </c>
      <c r="M15" s="4" t="n">
        <v>0</v>
      </c>
      <c r="N15" s="4" t="n">
        <v>115</v>
      </c>
      <c r="O15" s="4" t="n">
        <v>1</v>
      </c>
      <c r="P15" s="4" t="n">
        <v>56</v>
      </c>
      <c r="Q15" s="4" t="n">
        <v>0</v>
      </c>
    </row>
    <row r="16">
      <c r="A16" s="4" t="inlineStr">
        <is>
          <t>多喜二_党生活者.txt</t>
        </is>
      </c>
      <c r="B16" s="4" t="n">
        <v>42073</v>
      </c>
      <c r="C16" s="4" t="n">
        <v>4181</v>
      </c>
      <c r="D16" s="4" t="n">
        <v>99.37</v>
      </c>
      <c r="E16" s="4" t="n">
        <v>24</v>
      </c>
      <c r="F16" s="4" t="n">
        <v>0.2878</v>
      </c>
      <c r="G16" s="4" t="n">
        <v>0.0326</v>
      </c>
      <c r="H16" s="4" t="n">
        <v>20.9</v>
      </c>
      <c r="I16" s="4" t="n">
        <v>35.9</v>
      </c>
      <c r="J16" s="4" t="n">
        <v>144.7</v>
      </c>
      <c r="K16" s="4" t="n">
        <v>26.1</v>
      </c>
      <c r="L16" s="4" t="n">
        <v>0</v>
      </c>
      <c r="M16" s="4" t="n">
        <v>0</v>
      </c>
      <c r="N16" s="4" t="n">
        <v>113</v>
      </c>
      <c r="O16" s="4" t="n">
        <v>0</v>
      </c>
      <c r="P16" s="4" t="n">
        <v>47</v>
      </c>
      <c r="Q16" s="4" t="n">
        <v>0</v>
      </c>
    </row>
    <row r="17">
      <c r="A17" s="4" t="inlineStr">
        <is>
          <t>多喜二_工場細胞.txt</t>
        </is>
      </c>
      <c r="B17" s="4" t="n">
        <v>40424</v>
      </c>
      <c r="C17" s="4" t="n">
        <v>4783</v>
      </c>
      <c r="D17" s="4" t="n">
        <v>118.32</v>
      </c>
      <c r="E17" s="4" t="n">
        <v>16.02</v>
      </c>
      <c r="F17" s="4" t="n">
        <v>0.2863</v>
      </c>
      <c r="G17" s="4" t="n">
        <v>0.0514</v>
      </c>
      <c r="H17" s="4" t="n">
        <v>16.1</v>
      </c>
      <c r="I17" s="4" t="n">
        <v>51</v>
      </c>
      <c r="J17" s="4" t="n">
        <v>32.2</v>
      </c>
      <c r="K17" s="4" t="n">
        <v>50</v>
      </c>
      <c r="L17" s="4" t="n">
        <v>1</v>
      </c>
      <c r="M17" s="4" t="n">
        <v>23</v>
      </c>
      <c r="N17" s="4" t="n">
        <v>101</v>
      </c>
      <c r="O17" s="4" t="n">
        <v>0</v>
      </c>
      <c r="P17" s="4" t="n">
        <v>174</v>
      </c>
      <c r="Q17" s="4" t="n">
        <v>13</v>
      </c>
    </row>
    <row r="18">
      <c r="A18" s="4" t="inlineStr">
        <is>
          <t>多喜二_蟹工船.txt</t>
        </is>
      </c>
      <c r="B18" s="4" t="n">
        <v>40323</v>
      </c>
      <c r="C18" s="4" t="n">
        <v>4774</v>
      </c>
      <c r="D18" s="4" t="n">
        <v>118.39</v>
      </c>
      <c r="E18" s="4" t="n">
        <v>17.72</v>
      </c>
      <c r="F18" s="4" t="n">
        <v>0.2721</v>
      </c>
      <c r="G18" s="4" t="n">
        <v>0.0544</v>
      </c>
      <c r="H18" s="4" t="n">
        <v>29.8</v>
      </c>
      <c r="I18" s="4" t="n">
        <v>42.4</v>
      </c>
      <c r="J18" s="4" t="n">
        <v>31.2</v>
      </c>
      <c r="K18" s="4" t="n">
        <v>6.7</v>
      </c>
      <c r="L18" s="4" t="n">
        <v>0</v>
      </c>
      <c r="M18" s="4" t="n">
        <v>0</v>
      </c>
      <c r="N18" s="4" t="n">
        <v>87</v>
      </c>
      <c r="O18" s="4" t="n">
        <v>0</v>
      </c>
      <c r="P18" s="4" t="n">
        <v>20</v>
      </c>
      <c r="Q18" s="4" t="n">
        <v>11</v>
      </c>
    </row>
    <row r="19">
      <c r="A19" s="4" t="inlineStr">
        <is>
          <t>夢野久作_DOGRA.txt</t>
        </is>
      </c>
      <c r="B19" s="4" t="n">
        <v>266811</v>
      </c>
      <c r="C19" s="4" t="n">
        <v>17246</v>
      </c>
      <c r="D19" s="4" t="n">
        <v>64.64</v>
      </c>
      <c r="E19" s="4" t="n">
        <v>20.6</v>
      </c>
      <c r="F19" s="4" t="n">
        <v>0.3454</v>
      </c>
      <c r="G19" s="4" t="n">
        <v>0.045</v>
      </c>
      <c r="H19" s="4" t="n">
        <v>41.9</v>
      </c>
      <c r="I19" s="4" t="n">
        <v>85.40000000000001</v>
      </c>
      <c r="J19" s="4" t="n">
        <v>61.8</v>
      </c>
      <c r="K19" s="4" t="n">
        <v>3.6</v>
      </c>
      <c r="L19" s="4" t="n">
        <v>2</v>
      </c>
      <c r="M19" s="4" t="n">
        <v>0</v>
      </c>
      <c r="N19" s="4" t="n">
        <v>634</v>
      </c>
      <c r="O19" s="4" t="n">
        <v>0</v>
      </c>
      <c r="P19" s="4" t="n">
        <v>328</v>
      </c>
      <c r="Q19" s="4" t="n">
        <v>2</v>
      </c>
    </row>
    <row r="20">
      <c r="A20" s="4" t="inlineStr">
        <is>
          <t>夢野久作_少女地獄.txt</t>
        </is>
      </c>
      <c r="B20" s="4" t="n">
        <v>64806</v>
      </c>
      <c r="C20" s="4" t="n">
        <v>7109</v>
      </c>
      <c r="D20" s="4" t="n">
        <v>109.7</v>
      </c>
      <c r="E20" s="4" t="n">
        <v>18.83</v>
      </c>
      <c r="F20" s="4" t="n">
        <v>0.3192</v>
      </c>
      <c r="G20" s="4" t="n">
        <v>0.0492</v>
      </c>
      <c r="H20" s="4" t="n">
        <v>34.9</v>
      </c>
      <c r="I20" s="4" t="n">
        <v>156.8</v>
      </c>
      <c r="J20" s="4" t="n">
        <v>108.3</v>
      </c>
      <c r="K20" s="4" t="n">
        <v>39.2</v>
      </c>
      <c r="L20" s="4" t="n">
        <v>0</v>
      </c>
      <c r="M20" s="4" t="n">
        <v>0</v>
      </c>
      <c r="N20" s="4" t="n">
        <v>80</v>
      </c>
      <c r="O20" s="4" t="n">
        <v>0</v>
      </c>
      <c r="P20" s="4" t="n">
        <v>24</v>
      </c>
      <c r="Q20" s="4" t="n">
        <v>0</v>
      </c>
    </row>
    <row r="21">
      <c r="A21" s="4" t="inlineStr">
        <is>
          <t>夢野久作_押絵の奇蹟.txt</t>
        </is>
      </c>
      <c r="B21" s="4" t="n">
        <v>36269</v>
      </c>
      <c r="C21" s="4" t="n">
        <v>4365</v>
      </c>
      <c r="D21" s="4" t="n">
        <v>120.35</v>
      </c>
      <c r="E21" s="4" t="n">
        <v>32.38</v>
      </c>
      <c r="F21" s="4" t="n">
        <v>0.2746</v>
      </c>
      <c r="G21" s="4" t="n">
        <v>0.0227</v>
      </c>
      <c r="H21" s="4" t="n">
        <v>86.59999999999999</v>
      </c>
      <c r="I21" s="4" t="n">
        <v>175.6</v>
      </c>
      <c r="J21" s="4" t="n">
        <v>129</v>
      </c>
      <c r="K21" s="4" t="n">
        <v>0.3</v>
      </c>
      <c r="L21" s="4" t="n">
        <v>0</v>
      </c>
      <c r="M21" s="4" t="n">
        <v>0</v>
      </c>
      <c r="N21" s="4" t="n">
        <v>63</v>
      </c>
      <c r="O21" s="4" t="n">
        <v>0</v>
      </c>
      <c r="P21" s="4" t="n">
        <v>0</v>
      </c>
      <c r="Q21" s="4" t="n">
        <v>0</v>
      </c>
    </row>
    <row r="22">
      <c r="A22" s="4" t="inlineStr">
        <is>
          <t>太宰_人間失格.txt</t>
        </is>
      </c>
      <c r="B22" s="4" t="n">
        <v>44964</v>
      </c>
      <c r="C22" s="4" t="n">
        <v>5408</v>
      </c>
      <c r="D22" s="4" t="n">
        <v>120.27</v>
      </c>
      <c r="E22" s="4" t="n">
        <v>26.61</v>
      </c>
      <c r="F22" s="4" t="n">
        <v>0.2553</v>
      </c>
      <c r="G22" s="4" t="n">
        <v>0.0266</v>
      </c>
      <c r="H22" s="4" t="n">
        <v>30.9</v>
      </c>
      <c r="I22" s="4" t="n">
        <v>91.90000000000001</v>
      </c>
      <c r="J22" s="4" t="n">
        <v>181.5</v>
      </c>
      <c r="K22" s="4" t="n">
        <v>5.1</v>
      </c>
      <c r="L22" s="4" t="n">
        <v>0</v>
      </c>
      <c r="M22" s="4" t="n">
        <v>0</v>
      </c>
      <c r="N22" s="4" t="n">
        <v>25</v>
      </c>
      <c r="O22" s="4" t="n">
        <v>0</v>
      </c>
      <c r="P22" s="4" t="n">
        <v>10</v>
      </c>
      <c r="Q22" s="4" t="n">
        <v>0</v>
      </c>
    </row>
    <row r="23">
      <c r="A23" s="4" t="inlineStr">
        <is>
          <t>太宰_斜陽.txt</t>
        </is>
      </c>
      <c r="B23" s="4" t="n">
        <v>55108</v>
      </c>
      <c r="C23" s="4" t="n">
        <v>5445</v>
      </c>
      <c r="D23" s="4" t="n">
        <v>98.81</v>
      </c>
      <c r="E23" s="4" t="n">
        <v>19.62</v>
      </c>
      <c r="F23" s="4" t="n">
        <v>0.2207</v>
      </c>
      <c r="G23" s="4" t="n">
        <v>0.021</v>
      </c>
      <c r="H23" s="4" t="n">
        <v>24.1</v>
      </c>
      <c r="I23" s="4" t="n">
        <v>124.7</v>
      </c>
      <c r="J23" s="4" t="n">
        <v>168.4</v>
      </c>
      <c r="K23" s="4" t="n">
        <v>0.7</v>
      </c>
      <c r="L23" s="4" t="n">
        <v>0</v>
      </c>
      <c r="M23" s="4" t="n">
        <v>0</v>
      </c>
      <c r="N23" s="4" t="n">
        <v>33</v>
      </c>
      <c r="O23" s="4" t="n">
        <v>0</v>
      </c>
      <c r="P23" s="4" t="n">
        <v>45</v>
      </c>
      <c r="Q23" s="4" t="n">
        <v>0</v>
      </c>
    </row>
    <row r="24">
      <c r="A24" s="4" t="inlineStr">
        <is>
          <t>室生犀星_蜜のあわれ.txt</t>
        </is>
      </c>
      <c r="B24" s="4" t="n">
        <v>48730</v>
      </c>
      <c r="C24" s="4" t="n">
        <v>4506</v>
      </c>
      <c r="D24" s="4" t="n">
        <v>92.47</v>
      </c>
      <c r="E24" s="4" t="n">
        <v>26.11</v>
      </c>
      <c r="F24" s="4" t="n">
        <v>0.1754</v>
      </c>
      <c r="G24" s="4" t="n">
        <v>0.0063</v>
      </c>
      <c r="H24" s="4" t="n">
        <v>14.4</v>
      </c>
      <c r="I24" s="4" t="n">
        <v>133.4</v>
      </c>
      <c r="J24" s="4" t="n">
        <v>32</v>
      </c>
      <c r="K24" s="4" t="n">
        <v>3.1</v>
      </c>
      <c r="L24" s="4" t="n">
        <v>1</v>
      </c>
      <c r="M24" s="4" t="n">
        <v>0</v>
      </c>
      <c r="N24" s="4" t="n">
        <v>32</v>
      </c>
      <c r="O24" s="4" t="n">
        <v>0</v>
      </c>
      <c r="P24" s="4" t="n">
        <v>0</v>
      </c>
      <c r="Q24" s="4" t="n">
        <v>0</v>
      </c>
    </row>
    <row r="25">
      <c r="A25" s="4" t="inlineStr">
        <is>
          <t>宮本百合子_二つの庭.txt</t>
        </is>
      </c>
      <c r="B25" s="4" t="n">
        <v>119603</v>
      </c>
      <c r="C25" s="4" t="n">
        <v>9689</v>
      </c>
      <c r="D25" s="4" t="n">
        <v>81.01000000000001</v>
      </c>
      <c r="E25" s="4" t="n">
        <v>39.58</v>
      </c>
      <c r="F25" s="4" t="n">
        <v>0.2484</v>
      </c>
      <c r="G25" s="4" t="n">
        <v>0.022</v>
      </c>
      <c r="H25" s="4" t="n">
        <v>13</v>
      </c>
      <c r="I25" s="4" t="n">
        <v>60.1</v>
      </c>
      <c r="J25" s="4" t="n">
        <v>52</v>
      </c>
      <c r="K25" s="4" t="n">
        <v>4.1</v>
      </c>
      <c r="L25" s="4" t="n">
        <v>0</v>
      </c>
      <c r="M25" s="4" t="n">
        <v>0</v>
      </c>
      <c r="N25" s="4" t="n">
        <v>217</v>
      </c>
      <c r="O25" s="4" t="n">
        <v>0</v>
      </c>
      <c r="P25" s="4" t="n">
        <v>65</v>
      </c>
      <c r="Q25" s="4" t="n">
        <v>4</v>
      </c>
    </row>
    <row r="26">
      <c r="A26" s="4" t="inlineStr">
        <is>
          <t>宮本百合子_伸子.txt</t>
        </is>
      </c>
      <c r="B26" s="4" t="n">
        <v>148254</v>
      </c>
      <c r="C26" s="4" t="n">
        <v>11438</v>
      </c>
      <c r="D26" s="4" t="n">
        <v>77.15000000000001</v>
      </c>
      <c r="E26" s="4" t="n">
        <v>34.81</v>
      </c>
      <c r="F26" s="4" t="n">
        <v>0.2822</v>
      </c>
      <c r="G26" s="4" t="n">
        <v>0.0139</v>
      </c>
      <c r="H26" s="4" t="n">
        <v>18.2</v>
      </c>
      <c r="I26" s="4" t="n">
        <v>66.5</v>
      </c>
      <c r="J26" s="4" t="n">
        <v>77.40000000000001</v>
      </c>
      <c r="K26" s="4" t="n">
        <v>68.3</v>
      </c>
      <c r="L26" s="4" t="n">
        <v>1</v>
      </c>
      <c r="M26" s="4" t="n">
        <v>0</v>
      </c>
      <c r="N26" s="4" t="n">
        <v>358</v>
      </c>
      <c r="O26" s="4" t="n">
        <v>0</v>
      </c>
      <c r="P26" s="4" t="n">
        <v>185</v>
      </c>
      <c r="Q26" s="4" t="n">
        <v>8</v>
      </c>
    </row>
    <row r="27">
      <c r="A27" s="4" t="inlineStr">
        <is>
          <t>宮本百合子_播州平野.txt</t>
        </is>
      </c>
      <c r="B27" s="4" t="n">
        <v>65997</v>
      </c>
      <c r="C27" s="4" t="n">
        <v>7907</v>
      </c>
      <c r="D27" s="4" t="n">
        <v>119.81</v>
      </c>
      <c r="E27" s="4" t="n">
        <v>43.76</v>
      </c>
      <c r="F27" s="4" t="n">
        <v>0.2704</v>
      </c>
      <c r="G27" s="4" t="n">
        <v>0.0163</v>
      </c>
      <c r="H27" s="4" t="n">
        <v>18</v>
      </c>
      <c r="I27" s="4" t="n">
        <v>51.8</v>
      </c>
      <c r="J27" s="4" t="n">
        <v>22</v>
      </c>
      <c r="K27" s="4" t="n">
        <v>2</v>
      </c>
      <c r="L27" s="4" t="n">
        <v>0</v>
      </c>
      <c r="M27" s="4" t="n">
        <v>0</v>
      </c>
      <c r="N27" s="4" t="n">
        <v>144</v>
      </c>
      <c r="O27" s="4" t="n">
        <v>0</v>
      </c>
      <c r="P27" s="4" t="n">
        <v>3</v>
      </c>
      <c r="Q27" s="4" t="n">
        <v>2</v>
      </c>
    </row>
    <row r="28">
      <c r="A28" s="4" t="inlineStr">
        <is>
          <t>宮本百合子_道標.txt</t>
        </is>
      </c>
      <c r="B28" s="4" t="n">
        <v>490142</v>
      </c>
      <c r="C28" s="4" t="n">
        <v>21565</v>
      </c>
      <c r="D28" s="4" t="n">
        <v>44</v>
      </c>
      <c r="E28" s="4" t="n">
        <v>50.32</v>
      </c>
      <c r="F28" s="4" t="n">
        <v>0.2431</v>
      </c>
      <c r="G28" s="4" t="n">
        <v>0.0756</v>
      </c>
      <c r="H28" s="4" t="n">
        <v>12.5</v>
      </c>
      <c r="I28" s="4" t="n">
        <v>105.4</v>
      </c>
      <c r="J28" s="4" t="n">
        <v>40.6</v>
      </c>
      <c r="K28" s="4" t="n">
        <v>11.9</v>
      </c>
      <c r="L28" s="4" t="n">
        <v>86</v>
      </c>
      <c r="M28" s="4" t="n">
        <v>0</v>
      </c>
      <c r="N28" s="4" t="n">
        <v>1037</v>
      </c>
      <c r="O28" s="4" t="n">
        <v>0</v>
      </c>
      <c r="P28" s="4" t="n">
        <v>184</v>
      </c>
      <c r="Q28" s="4" t="n">
        <v>55</v>
      </c>
    </row>
    <row r="29">
      <c r="A29" s="4" t="inlineStr">
        <is>
          <t>小栗虫太郎_潜航艇「鷹の城」.txt</t>
        </is>
      </c>
      <c r="B29" s="4" t="n">
        <v>39906</v>
      </c>
      <c r="C29" s="4" t="n">
        <v>5563</v>
      </c>
      <c r="D29" s="4" t="n">
        <v>139.4</v>
      </c>
      <c r="E29" s="4" t="n">
        <v>27.58</v>
      </c>
      <c r="F29" s="4" t="n">
        <v>0.2653</v>
      </c>
      <c r="G29" s="4" t="n">
        <v>0.0523</v>
      </c>
      <c r="H29" s="4" t="n">
        <v>18</v>
      </c>
      <c r="I29" s="4" t="n">
        <v>108.8</v>
      </c>
      <c r="J29" s="4" t="n">
        <v>28.6</v>
      </c>
      <c r="K29" s="4" t="n">
        <v>19.8</v>
      </c>
      <c r="L29" s="4" t="n">
        <v>0</v>
      </c>
      <c r="M29" s="4" t="n">
        <v>0</v>
      </c>
      <c r="N29" s="4" t="n">
        <v>67</v>
      </c>
      <c r="O29" s="4" t="n">
        <v>0</v>
      </c>
      <c r="P29" s="4" t="n">
        <v>452</v>
      </c>
      <c r="Q29" s="4" t="n">
        <v>8</v>
      </c>
    </row>
    <row r="30">
      <c r="A30" s="4" t="inlineStr">
        <is>
          <t>小栗虫太郎_白蟻.txt</t>
        </is>
      </c>
      <c r="B30" s="4" t="n">
        <v>34013</v>
      </c>
      <c r="C30" s="4" t="n">
        <v>4710</v>
      </c>
      <c r="D30" s="4" t="n">
        <v>138.48</v>
      </c>
      <c r="E30" s="4" t="n">
        <v>35.88</v>
      </c>
      <c r="F30" s="4" t="n">
        <v>0.2598</v>
      </c>
      <c r="G30" s="4" t="n">
        <v>0.0056</v>
      </c>
      <c r="H30" s="4" t="n">
        <v>16.8</v>
      </c>
      <c r="I30" s="4" t="n">
        <v>122.9</v>
      </c>
      <c r="J30" s="4" t="n">
        <v>53.2</v>
      </c>
      <c r="K30" s="4" t="n">
        <v>19.1</v>
      </c>
      <c r="L30" s="4" t="n">
        <v>0</v>
      </c>
      <c r="M30" s="4" t="n">
        <v>0</v>
      </c>
      <c r="N30" s="4" t="n">
        <v>39</v>
      </c>
      <c r="O30" s="4" t="n">
        <v>0</v>
      </c>
      <c r="P30" s="4" t="n">
        <v>1</v>
      </c>
      <c r="Q30" s="4" t="n">
        <v>1</v>
      </c>
    </row>
    <row r="31">
      <c r="A31" s="4" t="inlineStr">
        <is>
          <t>小栗虫太郎_黒死館.txt</t>
        </is>
      </c>
      <c r="B31" s="4" t="n">
        <v>186895</v>
      </c>
      <c r="C31" s="4" t="n">
        <v>13484</v>
      </c>
      <c r="D31" s="4" t="n">
        <v>72.15000000000001</v>
      </c>
      <c r="E31" s="4" t="n">
        <v>29.06</v>
      </c>
      <c r="F31" s="4" t="n">
        <v>0.3129</v>
      </c>
      <c r="G31" s="4" t="n">
        <v>0.0401</v>
      </c>
      <c r="H31" s="4" t="n">
        <v>18.9</v>
      </c>
      <c r="I31" s="4" t="n">
        <v>101.3</v>
      </c>
      <c r="J31" s="4" t="n">
        <v>29.6</v>
      </c>
      <c r="K31" s="4" t="n">
        <v>14.1</v>
      </c>
      <c r="L31" s="4" t="n">
        <v>19</v>
      </c>
      <c r="M31" s="4" t="n">
        <v>0</v>
      </c>
      <c r="N31" s="4" t="n">
        <v>218</v>
      </c>
      <c r="O31" s="4" t="n">
        <v>0</v>
      </c>
      <c r="P31" s="4" t="n">
        <v>1098</v>
      </c>
      <c r="Q31" s="4" t="n">
        <v>12</v>
      </c>
    </row>
    <row r="32">
      <c r="A32" s="4" t="inlineStr">
        <is>
          <t>岡本かの子_仏教人生読本.txt</t>
        </is>
      </c>
      <c r="B32" s="4" t="n">
        <v>76541</v>
      </c>
      <c r="C32" s="4" t="n">
        <v>8417</v>
      </c>
      <c r="D32" s="4" t="n">
        <v>109.97</v>
      </c>
      <c r="E32" s="4" t="n">
        <v>65.25</v>
      </c>
      <c r="F32" s="4" t="n">
        <v>0.3275</v>
      </c>
      <c r="G32" s="4" t="n">
        <v>0.0067</v>
      </c>
      <c r="H32" s="4" t="n">
        <v>43.4</v>
      </c>
      <c r="I32" s="4" t="n">
        <v>262.2</v>
      </c>
      <c r="J32" s="4" t="n">
        <v>44.6</v>
      </c>
      <c r="K32" s="4" t="n">
        <v>3.9</v>
      </c>
      <c r="L32" s="4" t="n">
        <v>4</v>
      </c>
      <c r="M32" s="4" t="n">
        <v>0</v>
      </c>
      <c r="N32" s="4" t="n">
        <v>164</v>
      </c>
      <c r="O32" s="4" t="n">
        <v>0</v>
      </c>
      <c r="P32" s="4" t="n">
        <v>22</v>
      </c>
      <c r="Q32" s="4" t="n">
        <v>0</v>
      </c>
    </row>
    <row r="33">
      <c r="A33" s="4" t="inlineStr">
        <is>
          <t>岡本かの子_母子叙情.txt</t>
        </is>
      </c>
      <c r="B33" s="4" t="n">
        <v>48465</v>
      </c>
      <c r="C33" s="4" t="n">
        <v>6657</v>
      </c>
      <c r="D33" s="4" t="n">
        <v>137.36</v>
      </c>
      <c r="E33" s="4" t="n">
        <v>56.22</v>
      </c>
      <c r="F33" s="4" t="n">
        <v>0.3026</v>
      </c>
      <c r="G33" s="4" t="n">
        <v>0.0284</v>
      </c>
      <c r="H33" s="4" t="n">
        <v>18</v>
      </c>
      <c r="I33" s="4" t="n">
        <v>96.8</v>
      </c>
      <c r="J33" s="4" t="n">
        <v>59</v>
      </c>
      <c r="K33" s="4" t="n">
        <v>15.9</v>
      </c>
      <c r="L33" s="4" t="n">
        <v>3</v>
      </c>
      <c r="M33" s="4" t="n">
        <v>0</v>
      </c>
      <c r="N33" s="4" t="n">
        <v>100</v>
      </c>
      <c r="O33" s="4" t="n">
        <v>0</v>
      </c>
      <c r="P33" s="4" t="n">
        <v>68</v>
      </c>
      <c r="Q33" s="4" t="n">
        <v>0</v>
      </c>
    </row>
    <row r="34">
      <c r="A34" s="4" t="inlineStr">
        <is>
          <t>岡本かの子_生々流転.txt</t>
        </is>
      </c>
      <c r="B34" s="4" t="n">
        <v>186608</v>
      </c>
      <c r="C34" s="4" t="n">
        <v>15928</v>
      </c>
      <c r="D34" s="4" t="n">
        <v>85.36</v>
      </c>
      <c r="E34" s="4" t="n">
        <v>70</v>
      </c>
      <c r="F34" s="4" t="n">
        <v>0.2969</v>
      </c>
      <c r="G34" s="4" t="n">
        <v>0.0101</v>
      </c>
      <c r="H34" s="4" t="n">
        <v>27.9</v>
      </c>
      <c r="I34" s="4" t="n">
        <v>132.5</v>
      </c>
      <c r="J34" s="4" t="n">
        <v>143.2</v>
      </c>
      <c r="K34" s="4" t="n">
        <v>8.800000000000001</v>
      </c>
      <c r="L34" s="4" t="n">
        <v>20</v>
      </c>
      <c r="M34" s="4" t="n">
        <v>191</v>
      </c>
      <c r="N34" s="4" t="n">
        <v>238</v>
      </c>
      <c r="O34" s="4" t="n">
        <v>0</v>
      </c>
      <c r="P34" s="4" t="n">
        <v>91</v>
      </c>
      <c r="Q34" s="4" t="n">
        <v>0</v>
      </c>
    </row>
    <row r="35">
      <c r="A35" s="4" t="inlineStr">
        <is>
          <t>徳冨蘆花_不如帰.txt</t>
        </is>
      </c>
      <c r="B35" s="4" t="n">
        <v>80167</v>
      </c>
      <c r="C35" s="4" t="n">
        <v>9564</v>
      </c>
      <c r="D35" s="4" t="n">
        <v>119.3</v>
      </c>
      <c r="E35" s="4" t="n">
        <v>48.82</v>
      </c>
      <c r="F35" s="4" t="n">
        <v>0.2868</v>
      </c>
      <c r="G35" s="4" t="n">
        <v>0.0097</v>
      </c>
      <c r="H35" s="4" t="n">
        <v>156.5</v>
      </c>
      <c r="I35" s="4" t="n">
        <v>93.90000000000001</v>
      </c>
      <c r="J35" s="4" t="n">
        <v>23.2</v>
      </c>
      <c r="K35" s="4" t="n">
        <v>10.6</v>
      </c>
      <c r="L35" s="4" t="n">
        <v>47</v>
      </c>
      <c r="M35" s="4" t="n">
        <v>0</v>
      </c>
      <c r="N35" s="4" t="n">
        <v>301</v>
      </c>
      <c r="O35" s="4" t="n">
        <v>0</v>
      </c>
      <c r="P35" s="4" t="n">
        <v>0</v>
      </c>
      <c r="Q35" s="4" t="n">
        <v>0</v>
      </c>
    </row>
    <row r="36">
      <c r="A36" s="4" t="inlineStr">
        <is>
          <t>林芙美子_放浪記初出.txt</t>
        </is>
      </c>
      <c r="B36" s="4" t="n">
        <v>64446</v>
      </c>
      <c r="C36" s="4" t="n">
        <v>7572</v>
      </c>
      <c r="D36" s="4" t="n">
        <v>117.49</v>
      </c>
      <c r="E36" s="4" t="n">
        <v>20.14</v>
      </c>
      <c r="F36" s="4" t="n">
        <v>0.2778</v>
      </c>
      <c r="G36" s="4" t="n">
        <v>0.0507</v>
      </c>
      <c r="H36" s="4" t="n">
        <v>16.8</v>
      </c>
      <c r="I36" s="4" t="n">
        <v>66.7</v>
      </c>
      <c r="J36" s="4" t="n">
        <v>140.6</v>
      </c>
      <c r="K36" s="4" t="n">
        <v>5.4</v>
      </c>
      <c r="L36" s="4" t="n">
        <v>5</v>
      </c>
      <c r="M36" s="4" t="n">
        <v>34</v>
      </c>
      <c r="N36" s="4" t="n">
        <v>140</v>
      </c>
      <c r="O36" s="4" t="n">
        <v>0</v>
      </c>
      <c r="P36" s="4" t="n">
        <v>5</v>
      </c>
      <c r="Q36" s="4" t="n">
        <v>0</v>
      </c>
    </row>
    <row r="37">
      <c r="A37" s="4" t="inlineStr">
        <is>
          <t>林芙美子_新版放浪記.txt</t>
        </is>
      </c>
      <c r="B37" s="4" t="n">
        <v>154617</v>
      </c>
      <c r="C37" s="4" t="n">
        <v>12781</v>
      </c>
      <c r="D37" s="4" t="n">
        <v>82.66</v>
      </c>
      <c r="E37" s="4" t="n">
        <v>38.32</v>
      </c>
      <c r="F37" s="4" t="n">
        <v>0.2709</v>
      </c>
      <c r="G37" s="4" t="n">
        <v>0.0358</v>
      </c>
      <c r="H37" s="4" t="n">
        <v>29.8</v>
      </c>
      <c r="I37" s="4" t="n">
        <v>63.3</v>
      </c>
      <c r="J37" s="4" t="n">
        <v>136.5</v>
      </c>
      <c r="K37" s="4" t="n">
        <v>3.1</v>
      </c>
      <c r="L37" s="4" t="n">
        <v>0</v>
      </c>
      <c r="M37" s="4" t="n">
        <v>0</v>
      </c>
      <c r="N37" s="4" t="n">
        <v>315</v>
      </c>
      <c r="O37" s="4" t="n">
        <v>0</v>
      </c>
      <c r="P37" s="4" t="n">
        <v>5</v>
      </c>
      <c r="Q37" s="4" t="n">
        <v>11</v>
      </c>
    </row>
    <row r="38">
      <c r="A38" s="4" t="inlineStr">
        <is>
          <t>海野十三_地球要塞.txt</t>
        </is>
      </c>
      <c r="B38" s="4" t="n">
        <v>45402</v>
      </c>
      <c r="C38" s="4" t="n">
        <v>5012</v>
      </c>
      <c r="D38" s="4" t="n">
        <v>110.39</v>
      </c>
      <c r="E38" s="4" t="n">
        <v>15.9</v>
      </c>
      <c r="F38" s="4" t="n">
        <v>0.2635</v>
      </c>
      <c r="G38" s="4" t="n">
        <v>0.0318</v>
      </c>
      <c r="H38" s="4" t="n">
        <v>20.5</v>
      </c>
      <c r="I38" s="4" t="n">
        <v>41.6</v>
      </c>
      <c r="J38" s="4" t="n">
        <v>145.4</v>
      </c>
      <c r="K38" s="4" t="n">
        <v>9</v>
      </c>
      <c r="L38" s="4" t="n">
        <v>0</v>
      </c>
      <c r="M38" s="4" t="n">
        <v>0</v>
      </c>
      <c r="N38" s="4" t="n">
        <v>20</v>
      </c>
      <c r="O38" s="4" t="n">
        <v>0</v>
      </c>
      <c r="P38" s="4" t="n">
        <v>157</v>
      </c>
      <c r="Q38" s="4" t="n">
        <v>5</v>
      </c>
    </row>
    <row r="39">
      <c r="A39" s="4" t="inlineStr">
        <is>
          <t>海野十三_怪塔王.txt</t>
        </is>
      </c>
      <c r="B39" s="4" t="n">
        <v>99361</v>
      </c>
      <c r="C39" s="4" t="n">
        <v>6774</v>
      </c>
      <c r="D39" s="4" t="n">
        <v>68.18000000000001</v>
      </c>
      <c r="E39" s="4" t="n">
        <v>16.49</v>
      </c>
      <c r="F39" s="4" t="n">
        <v>0.2101</v>
      </c>
      <c r="G39" s="4" t="n">
        <v>0.0191</v>
      </c>
      <c r="H39" s="4" t="n">
        <v>23.1</v>
      </c>
      <c r="I39" s="4" t="n">
        <v>165.8</v>
      </c>
      <c r="J39" s="4" t="n">
        <v>28.9</v>
      </c>
      <c r="K39" s="4" t="n">
        <v>9.199999999999999</v>
      </c>
      <c r="L39" s="4" t="n">
        <v>0</v>
      </c>
      <c r="M39" s="4" t="n">
        <v>0</v>
      </c>
      <c r="N39" s="4" t="n">
        <v>31</v>
      </c>
      <c r="O39" s="4" t="n">
        <v>0</v>
      </c>
      <c r="P39" s="4" t="n">
        <v>4</v>
      </c>
      <c r="Q39" s="4" t="n">
        <v>238</v>
      </c>
    </row>
    <row r="40">
      <c r="A40" s="4" t="inlineStr">
        <is>
          <t>海野十三_敗戦日記.txt</t>
        </is>
      </c>
      <c r="B40" s="4" t="n">
        <v>50131</v>
      </c>
      <c r="C40" s="4" t="n">
        <v>8499</v>
      </c>
      <c r="D40" s="4" t="n">
        <v>169.54</v>
      </c>
      <c r="E40" s="4" t="n">
        <v>16.85</v>
      </c>
      <c r="F40" s="4" t="n">
        <v>0.3819</v>
      </c>
      <c r="G40" s="4" t="n">
        <v>0.0284</v>
      </c>
      <c r="H40" s="4" t="n">
        <v>49.7</v>
      </c>
      <c r="I40" s="4" t="n">
        <v>15</v>
      </c>
      <c r="J40" s="4" t="n">
        <v>21.9</v>
      </c>
      <c r="K40" s="4" t="n">
        <v>1.4</v>
      </c>
      <c r="L40" s="4" t="n">
        <v>110</v>
      </c>
      <c r="M40" s="4" t="n">
        <v>0</v>
      </c>
      <c r="N40" s="4" t="n">
        <v>76</v>
      </c>
      <c r="O40" s="4" t="n">
        <v>4</v>
      </c>
      <c r="P40" s="4" t="n">
        <v>330</v>
      </c>
      <c r="Q40" s="4" t="n">
        <v>393</v>
      </c>
    </row>
    <row r="41">
      <c r="A41" s="4" t="inlineStr">
        <is>
          <t>海野十三_浮かぶ飛行島.txt</t>
        </is>
      </c>
      <c r="B41" s="4" t="n">
        <v>74707</v>
      </c>
      <c r="C41" s="4" t="n">
        <v>7452</v>
      </c>
      <c r="D41" s="4" t="n">
        <v>99.75</v>
      </c>
      <c r="E41" s="4" t="n">
        <v>15.76</v>
      </c>
      <c r="F41" s="4" t="n">
        <v>0.2748</v>
      </c>
      <c r="G41" s="4" t="n">
        <v>0.0358</v>
      </c>
      <c r="H41" s="4" t="n">
        <v>16.9</v>
      </c>
      <c r="I41" s="4" t="n">
        <v>84.09999999999999</v>
      </c>
      <c r="J41" s="4" t="n">
        <v>33.6</v>
      </c>
      <c r="K41" s="4" t="n">
        <v>21.6</v>
      </c>
      <c r="L41" s="4" t="n">
        <v>0</v>
      </c>
      <c r="M41" s="4" t="n">
        <v>0</v>
      </c>
      <c r="N41" s="4" t="n">
        <v>54</v>
      </c>
      <c r="O41" s="4" t="n">
        <v>0</v>
      </c>
      <c r="P41" s="4" t="n">
        <v>1</v>
      </c>
      <c r="Q41" s="4" t="n">
        <v>0</v>
      </c>
    </row>
    <row r="42">
      <c r="A42" s="4" t="inlineStr">
        <is>
          <t>海野十三_火星兵団.txt</t>
        </is>
      </c>
      <c r="B42" s="4" t="n">
        <v>190367</v>
      </c>
      <c r="C42" s="4" t="n">
        <v>9281</v>
      </c>
      <c r="D42" s="4" t="n">
        <v>48.75</v>
      </c>
      <c r="E42" s="4" t="n">
        <v>16.02</v>
      </c>
      <c r="F42" s="4" t="n">
        <v>0.2221</v>
      </c>
      <c r="G42" s="4" t="n">
        <v>0.0153</v>
      </c>
      <c r="H42" s="4" t="n">
        <v>13.7</v>
      </c>
      <c r="I42" s="4" t="n">
        <v>93.7</v>
      </c>
      <c r="J42" s="4" t="n">
        <v>34.1</v>
      </c>
      <c r="K42" s="4" t="n">
        <v>8.9</v>
      </c>
      <c r="L42" s="4" t="n">
        <v>0</v>
      </c>
      <c r="M42" s="4" t="n">
        <v>0</v>
      </c>
      <c r="N42" s="4" t="n">
        <v>393</v>
      </c>
      <c r="O42" s="4" t="n">
        <v>0</v>
      </c>
      <c r="P42" s="4" t="n">
        <v>0</v>
      </c>
      <c r="Q42" s="4" t="n">
        <v>135</v>
      </c>
    </row>
    <row r="43">
      <c r="A43" s="4" t="inlineStr">
        <is>
          <t>漱石_こころ.txt</t>
        </is>
      </c>
      <c r="B43" s="4" t="n">
        <v>103604</v>
      </c>
      <c r="C43" s="4" t="n">
        <v>7040</v>
      </c>
      <c r="D43" s="4" t="n">
        <v>67.95</v>
      </c>
      <c r="E43" s="4" t="n">
        <v>19.97</v>
      </c>
      <c r="F43" s="4" t="n">
        <v>0.2775</v>
      </c>
      <c r="G43" s="4" t="n">
        <v>0.0011</v>
      </c>
      <c r="H43" s="4" t="n">
        <v>19.4</v>
      </c>
      <c r="I43" s="4" t="n">
        <v>160.3</v>
      </c>
      <c r="J43" s="4" t="n">
        <v>285.7</v>
      </c>
      <c r="K43" s="4" t="n">
        <v>30.3</v>
      </c>
      <c r="L43" s="4" t="n">
        <v>0</v>
      </c>
      <c r="M43" s="4" t="n">
        <v>0</v>
      </c>
      <c r="N43" s="4" t="n">
        <v>173</v>
      </c>
      <c r="O43" s="4" t="n">
        <v>0</v>
      </c>
      <c r="P43" s="4" t="n">
        <v>411</v>
      </c>
      <c r="Q43" s="4" t="n">
        <v>0</v>
      </c>
    </row>
    <row r="44">
      <c r="A44" s="4" t="inlineStr">
        <is>
          <t>漱石_三四郎.txt</t>
        </is>
      </c>
      <c r="B44" s="4" t="n">
        <v>103792</v>
      </c>
      <c r="C44" s="4" t="n">
        <v>7500</v>
      </c>
      <c r="D44" s="4" t="n">
        <v>72.26000000000001</v>
      </c>
      <c r="E44" s="4" t="n">
        <v>14.77</v>
      </c>
      <c r="F44" s="4" t="n">
        <v>0.2623</v>
      </c>
      <c r="G44" s="4" t="n">
        <v>0.009299999999999999</v>
      </c>
      <c r="H44" s="4" t="n">
        <v>13</v>
      </c>
      <c r="I44" s="4" t="n">
        <v>67</v>
      </c>
      <c r="J44" s="4" t="n">
        <v>20.8</v>
      </c>
      <c r="K44" s="4" t="n">
        <v>0.9</v>
      </c>
      <c r="L44" s="4" t="n">
        <v>0</v>
      </c>
      <c r="M44" s="4" t="n">
        <v>0</v>
      </c>
      <c r="N44" s="4" t="n">
        <v>352</v>
      </c>
      <c r="O44" s="4" t="n">
        <v>0</v>
      </c>
      <c r="P44" s="4" t="n">
        <v>179</v>
      </c>
      <c r="Q44" s="4" t="n">
        <v>16</v>
      </c>
    </row>
    <row r="45">
      <c r="A45" s="4" t="inlineStr">
        <is>
          <t>漱石_坊っちゃん.txt</t>
        </is>
      </c>
      <c r="B45" s="4" t="n">
        <v>55672</v>
      </c>
      <c r="C45" s="4" t="n">
        <v>5861</v>
      </c>
      <c r="D45" s="4" t="n">
        <v>105.28</v>
      </c>
      <c r="E45" s="4" t="n">
        <v>20.15</v>
      </c>
      <c r="F45" s="4" t="n">
        <v>0.2823</v>
      </c>
      <c r="G45" s="4" t="n">
        <v>0.0123</v>
      </c>
      <c r="H45" s="4" t="n">
        <v>13.7</v>
      </c>
      <c r="I45" s="4" t="n">
        <v>81</v>
      </c>
      <c r="J45" s="4" t="n">
        <v>108.5</v>
      </c>
      <c r="K45" s="4" t="n">
        <v>0.2</v>
      </c>
      <c r="L45" s="4" t="n">
        <v>0</v>
      </c>
      <c r="M45" s="4" t="n">
        <v>0</v>
      </c>
      <c r="N45" s="4" t="n">
        <v>82</v>
      </c>
      <c r="O45" s="4" t="n">
        <v>0</v>
      </c>
      <c r="P45" s="4" t="n">
        <v>27</v>
      </c>
      <c r="Q45" s="4" t="n">
        <v>0</v>
      </c>
    </row>
    <row r="46">
      <c r="A46" s="4" t="inlineStr">
        <is>
          <t>漱石_草枕.txt</t>
        </is>
      </c>
      <c r="B46" s="4" t="n">
        <v>54857</v>
      </c>
      <c r="C46" s="4" t="n">
        <v>7230</v>
      </c>
      <c r="D46" s="4" t="n">
        <v>131.8</v>
      </c>
      <c r="E46" s="4" t="n">
        <v>16.8</v>
      </c>
      <c r="F46" s="4" t="n">
        <v>0.3006</v>
      </c>
      <c r="G46" s="4" t="n">
        <v>0.0052</v>
      </c>
      <c r="H46" s="4" t="n">
        <v>35.7</v>
      </c>
      <c r="I46" s="4" t="n">
        <v>70.7</v>
      </c>
      <c r="J46" s="4" t="n">
        <v>15.5</v>
      </c>
      <c r="K46" s="4" t="n">
        <v>4.6</v>
      </c>
      <c r="L46" s="4" t="n">
        <v>0</v>
      </c>
      <c r="M46" s="4" t="n">
        <v>0</v>
      </c>
      <c r="N46" s="4" t="n">
        <v>78</v>
      </c>
      <c r="O46" s="4" t="n">
        <v>0</v>
      </c>
      <c r="P46" s="4" t="n">
        <v>291</v>
      </c>
      <c r="Q46" s="4" t="n">
        <v>0</v>
      </c>
    </row>
    <row r="47">
      <c r="A47" s="4" t="inlineStr">
        <is>
          <t>福翁_学問.txt</t>
        </is>
      </c>
      <c r="B47" s="4" t="n">
        <v>54035</v>
      </c>
      <c r="C47" s="4" t="n">
        <v>5348</v>
      </c>
      <c r="D47" s="4" t="n">
        <v>98.97</v>
      </c>
      <c r="E47" s="4" t="n">
        <v>33.88</v>
      </c>
      <c r="F47" s="4" t="n">
        <v>0.3306</v>
      </c>
      <c r="G47" s="4" t="n">
        <v>0.0053</v>
      </c>
      <c r="H47" s="4" t="n">
        <v>407.3</v>
      </c>
      <c r="I47" s="4" t="n">
        <v>0.2</v>
      </c>
      <c r="J47" s="4" t="n">
        <v>15.9</v>
      </c>
      <c r="K47" s="4" t="n">
        <v>3</v>
      </c>
      <c r="L47" s="4" t="n">
        <v>0</v>
      </c>
      <c r="M47" s="4" t="n">
        <v>0</v>
      </c>
      <c r="N47" s="4" t="n">
        <v>63</v>
      </c>
      <c r="O47" s="4" t="n">
        <v>0</v>
      </c>
      <c r="P47" s="4" t="n">
        <v>5</v>
      </c>
      <c r="Q47" s="4" t="n">
        <v>0</v>
      </c>
    </row>
    <row r="48">
      <c r="A48" s="4" t="inlineStr">
        <is>
          <t>福翁_自伝.txt</t>
        </is>
      </c>
      <c r="B48" s="4" t="n">
        <v>142443</v>
      </c>
      <c r="C48" s="4" t="n">
        <v>10429</v>
      </c>
      <c r="D48" s="4" t="n">
        <v>73.22</v>
      </c>
      <c r="E48" s="4" t="n">
        <v>46.93</v>
      </c>
      <c r="F48" s="4" t="n">
        <v>0.4105</v>
      </c>
      <c r="G48" s="4" t="n">
        <v>0.0216</v>
      </c>
      <c r="H48" s="4" t="n">
        <v>27.2</v>
      </c>
      <c r="I48" s="4" t="n">
        <v>25.5</v>
      </c>
      <c r="J48" s="4" t="n">
        <v>94.7</v>
      </c>
      <c r="K48" s="4" t="n">
        <v>4.6</v>
      </c>
      <c r="L48" s="4" t="n">
        <v>7</v>
      </c>
      <c r="M48" s="4" t="n">
        <v>4</v>
      </c>
      <c r="N48" s="4" t="n">
        <v>505</v>
      </c>
      <c r="O48" s="4" t="n">
        <v>0</v>
      </c>
      <c r="P48" s="4" t="n">
        <v>9</v>
      </c>
      <c r="Q48" s="4" t="n">
        <v>0</v>
      </c>
    </row>
    <row r="49">
      <c r="A49" s="4" t="inlineStr">
        <is>
          <t>綺堂_両国の秋.txt</t>
        </is>
      </c>
      <c r="B49" s="4" t="n">
        <v>36707</v>
      </c>
      <c r="C49" s="4" t="n">
        <v>4368</v>
      </c>
      <c r="D49" s="4" t="n">
        <v>119</v>
      </c>
      <c r="E49" s="4" t="n">
        <v>19.88</v>
      </c>
      <c r="F49" s="4" t="n">
        <v>0.2563</v>
      </c>
      <c r="G49" s="4" t="n">
        <v>0.0002</v>
      </c>
      <c r="H49" s="4" t="n">
        <v>5.7</v>
      </c>
      <c r="I49" s="4" t="n">
        <v>34.6</v>
      </c>
      <c r="J49" s="4" t="n">
        <v>61</v>
      </c>
      <c r="K49" s="4" t="n">
        <v>67</v>
      </c>
      <c r="L49" s="4" t="n">
        <v>0</v>
      </c>
      <c r="M49" s="4" t="n">
        <v>0</v>
      </c>
      <c r="N49" s="4" t="n">
        <v>20</v>
      </c>
      <c r="O49" s="4" t="n">
        <v>0</v>
      </c>
      <c r="P49" s="4" t="n">
        <v>0</v>
      </c>
      <c r="Q49" s="4" t="n">
        <v>0</v>
      </c>
    </row>
    <row r="50">
      <c r="A50" s="4" t="inlineStr">
        <is>
          <t>綺堂_半七捕物帳.txt</t>
        </is>
      </c>
      <c r="B50" s="4" t="n">
        <v>49248</v>
      </c>
      <c r="C50" s="4" t="n">
        <v>4459</v>
      </c>
      <c r="D50" s="4" t="n">
        <v>90.54000000000001</v>
      </c>
      <c r="E50" s="4" t="n">
        <v>20.08</v>
      </c>
      <c r="F50" s="4" t="n">
        <v>0.2815</v>
      </c>
      <c r="G50" s="4" t="n">
        <v>0.0003</v>
      </c>
      <c r="H50" s="4" t="n">
        <v>8.300000000000001</v>
      </c>
      <c r="I50" s="4" t="n">
        <v>57.1</v>
      </c>
      <c r="J50" s="4" t="n">
        <v>39.8</v>
      </c>
      <c r="K50" s="4" t="n">
        <v>37.4</v>
      </c>
      <c r="L50" s="4" t="n">
        <v>0</v>
      </c>
      <c r="M50" s="4" t="n">
        <v>0</v>
      </c>
      <c r="N50" s="4" t="n">
        <v>132</v>
      </c>
      <c r="O50" s="4" t="n">
        <v>0</v>
      </c>
      <c r="P50" s="4" t="n">
        <v>0</v>
      </c>
      <c r="Q50" s="4" t="n">
        <v>0</v>
      </c>
    </row>
    <row r="51">
      <c r="A51" s="4" t="inlineStr">
        <is>
          <t>綺堂_玉藻の前.txt</t>
        </is>
      </c>
      <c r="B51" s="4" t="n">
        <v>82938</v>
      </c>
      <c r="C51" s="4" t="n">
        <v>7759</v>
      </c>
      <c r="D51" s="4" t="n">
        <v>93.55</v>
      </c>
      <c r="E51" s="4" t="n">
        <v>19.99</v>
      </c>
      <c r="F51" s="4" t="n">
        <v>0.2825</v>
      </c>
      <c r="G51" s="4" t="n">
        <v>0.0001</v>
      </c>
      <c r="H51" s="4" t="n">
        <v>17.4</v>
      </c>
      <c r="I51" s="4" t="n">
        <v>57.2</v>
      </c>
      <c r="J51" s="4" t="n">
        <v>39.3</v>
      </c>
      <c r="K51" s="4" t="n">
        <v>91.40000000000001</v>
      </c>
      <c r="L51" s="4" t="n">
        <v>0</v>
      </c>
      <c r="M51" s="4" t="n">
        <v>0</v>
      </c>
      <c r="N51" s="4" t="n">
        <v>61</v>
      </c>
      <c r="O51" s="4" t="n">
        <v>0</v>
      </c>
      <c r="P51" s="4" t="n">
        <v>0</v>
      </c>
      <c r="Q51" s="4" t="n">
        <v>0</v>
      </c>
    </row>
    <row r="52">
      <c r="A52" s="4" t="inlineStr">
        <is>
          <t>綺堂_青蛙堂鬼談.txt</t>
        </is>
      </c>
      <c r="B52" s="4" t="n">
        <v>76021</v>
      </c>
      <c r="C52" s="4" t="n">
        <v>7042</v>
      </c>
      <c r="D52" s="4" t="n">
        <v>92.63</v>
      </c>
      <c r="E52" s="4" t="n">
        <v>28.22</v>
      </c>
      <c r="F52" s="4" t="n">
        <v>0.2653</v>
      </c>
      <c r="G52" s="4" t="n">
        <v>0.0018</v>
      </c>
      <c r="H52" s="4" t="n">
        <v>20.5</v>
      </c>
      <c r="I52" s="4" t="n">
        <v>76.8</v>
      </c>
      <c r="J52" s="4" t="n">
        <v>56.4</v>
      </c>
      <c r="K52" s="4" t="n">
        <v>43.9</v>
      </c>
      <c r="L52" s="4" t="n">
        <v>0</v>
      </c>
      <c r="M52" s="4" t="n">
        <v>0</v>
      </c>
      <c r="N52" s="4" t="n">
        <v>97</v>
      </c>
      <c r="O52" s="4" t="n">
        <v>0</v>
      </c>
      <c r="P52" s="4" t="n">
        <v>37</v>
      </c>
      <c r="Q52" s="4" t="n">
        <v>0</v>
      </c>
    </row>
    <row r="53">
      <c r="A53" s="4" t="inlineStr">
        <is>
          <t>綺堂_飛騨の怪談.txt</t>
        </is>
      </c>
      <c r="B53" s="4" t="n">
        <v>69118</v>
      </c>
      <c r="C53" s="4" t="n">
        <v>6239</v>
      </c>
      <c r="D53" s="4" t="n">
        <v>90.27</v>
      </c>
      <c r="E53" s="4" t="n">
        <v>19.56</v>
      </c>
      <c r="F53" s="4" t="n">
        <v>0.3656</v>
      </c>
      <c r="G53" s="4" t="n">
        <v>0.0035</v>
      </c>
      <c r="H53" s="4" t="n">
        <v>15.5</v>
      </c>
      <c r="I53" s="4" t="n">
        <v>42.8</v>
      </c>
      <c r="J53" s="4" t="n">
        <v>23.7</v>
      </c>
      <c r="K53" s="4" t="n">
        <v>58.5</v>
      </c>
      <c r="L53" s="4" t="n">
        <v>0</v>
      </c>
      <c r="M53" s="4" t="n">
        <v>0</v>
      </c>
      <c r="N53" s="4" t="n">
        <v>230</v>
      </c>
      <c r="O53" s="4" t="n">
        <v>0</v>
      </c>
      <c r="P53" s="4" t="n">
        <v>3</v>
      </c>
      <c r="Q53" s="4" t="n">
        <v>0</v>
      </c>
    </row>
    <row r="54">
      <c r="A54" s="4" t="inlineStr">
        <is>
          <t>芥川_偸盗.txt</t>
        </is>
      </c>
      <c r="B54" s="4" t="n">
        <v>31541</v>
      </c>
      <c r="C54" s="4" t="n">
        <v>3868</v>
      </c>
      <c r="D54" s="4" t="n">
        <v>122.63</v>
      </c>
      <c r="E54" s="4" t="n">
        <v>21.87</v>
      </c>
      <c r="F54" s="4" t="n">
        <v>0.2274</v>
      </c>
      <c r="G54" s="4" t="n">
        <v>0</v>
      </c>
      <c r="H54" s="4" t="n">
        <v>8.6</v>
      </c>
      <c r="I54" s="4" t="n">
        <v>44.4</v>
      </c>
      <c r="J54" s="4" t="n">
        <v>73.2</v>
      </c>
      <c r="K54" s="4" t="n">
        <v>32.3</v>
      </c>
      <c r="L54" s="4" t="n">
        <v>0</v>
      </c>
      <c r="M54" s="4" t="n">
        <v>0</v>
      </c>
      <c r="N54" s="4" t="n">
        <v>49</v>
      </c>
      <c r="O54" s="4" t="n">
        <v>0</v>
      </c>
      <c r="P54" s="4" t="n">
        <v>0</v>
      </c>
      <c r="Q54" s="4" t="n">
        <v>0</v>
      </c>
    </row>
    <row r="55">
      <c r="A55" s="4" t="inlineStr">
        <is>
          <t>芥川_文芸的な.txt</t>
        </is>
      </c>
      <c r="B55" s="4" t="n">
        <v>31315</v>
      </c>
      <c r="C55" s="4" t="n">
        <v>3484</v>
      </c>
      <c r="D55" s="4" t="n">
        <v>111.26</v>
      </c>
      <c r="E55" s="4" t="n">
        <v>22.32</v>
      </c>
      <c r="F55" s="4" t="n">
        <v>0.3514</v>
      </c>
      <c r="G55" s="4" t="n">
        <v>0.0471</v>
      </c>
      <c r="H55" s="4" t="n">
        <v>9.300000000000001</v>
      </c>
      <c r="I55" s="4" t="n">
        <v>1</v>
      </c>
      <c r="J55" s="4" t="n">
        <v>160.9</v>
      </c>
      <c r="K55" s="4" t="n">
        <v>17.6</v>
      </c>
      <c r="L55" s="4" t="n">
        <v>0</v>
      </c>
      <c r="M55" s="4" t="n">
        <v>0</v>
      </c>
      <c r="N55" s="4" t="n">
        <v>81</v>
      </c>
      <c r="O55" s="4" t="n">
        <v>0</v>
      </c>
      <c r="P55" s="4" t="n">
        <v>102</v>
      </c>
      <c r="Q55" s="4" t="n">
        <v>4</v>
      </c>
    </row>
    <row r="56">
      <c r="A56" s="4" t="inlineStr">
        <is>
          <t>藤村_千曲川.txt</t>
        </is>
      </c>
      <c r="B56" s="4" t="n">
        <v>54434</v>
      </c>
      <c r="C56" s="4" t="n">
        <v>6417</v>
      </c>
      <c r="D56" s="4" t="n">
        <v>117.89</v>
      </c>
      <c r="E56" s="4" t="n">
        <v>21.65</v>
      </c>
      <c r="F56" s="4" t="n">
        <v>0.3603</v>
      </c>
      <c r="G56" s="4" t="n">
        <v>0.0124</v>
      </c>
      <c r="H56" s="4" t="n">
        <v>15.6</v>
      </c>
      <c r="I56" s="4" t="n">
        <v>25.7</v>
      </c>
      <c r="J56" s="4" t="n">
        <v>83.8</v>
      </c>
      <c r="K56" s="4" t="n">
        <v>1.3</v>
      </c>
      <c r="L56" s="4" t="n">
        <v>0</v>
      </c>
      <c r="M56" s="4" t="n">
        <v>0</v>
      </c>
      <c r="N56" s="4" t="n">
        <v>209</v>
      </c>
      <c r="O56" s="4" t="n">
        <v>0</v>
      </c>
      <c r="P56" s="4" t="n">
        <v>139</v>
      </c>
      <c r="Q56" s="4" t="n">
        <v>0</v>
      </c>
    </row>
    <row r="57">
      <c r="A57" s="4" t="inlineStr">
        <is>
          <t>藤村_夜明け前.txt</t>
        </is>
      </c>
      <c r="B57" s="4" t="n">
        <v>502937</v>
      </c>
      <c r="C57" s="4" t="n">
        <v>22716</v>
      </c>
      <c r="D57" s="4" t="n">
        <v>45.17</v>
      </c>
      <c r="E57" s="4" t="n">
        <v>79.97</v>
      </c>
      <c r="F57" s="4" t="n">
        <v>0.3408</v>
      </c>
      <c r="G57" s="4" t="n">
        <v>0.0045</v>
      </c>
      <c r="H57" s="4" t="n">
        <v>22.5</v>
      </c>
      <c r="I57" s="4" t="n">
        <v>39.5</v>
      </c>
      <c r="J57" s="4" t="n">
        <v>24.7</v>
      </c>
      <c r="K57" s="4" t="n">
        <v>32.4</v>
      </c>
      <c r="L57" s="4" t="n">
        <v>52</v>
      </c>
      <c r="M57" s="4" t="n">
        <v>0</v>
      </c>
      <c r="N57" s="4" t="n">
        <v>560</v>
      </c>
      <c r="O57" s="4" t="n">
        <v>0</v>
      </c>
      <c r="P57" s="4" t="n">
        <v>0</v>
      </c>
      <c r="Q57" s="4" t="n">
        <v>0</v>
      </c>
    </row>
    <row r="58">
      <c r="A58" s="4" t="inlineStr">
        <is>
          <t>藤村_家.txt</t>
        </is>
      </c>
      <c r="B58" s="4" t="n">
        <v>95663</v>
      </c>
      <c r="C58" s="4" t="n">
        <v>6572</v>
      </c>
      <c r="D58" s="4" t="n">
        <v>68.7</v>
      </c>
      <c r="E58" s="4" t="n">
        <v>18.55</v>
      </c>
      <c r="F58" s="4" t="n">
        <v>0.3323</v>
      </c>
      <c r="G58" s="4" t="n">
        <v>0.0131</v>
      </c>
      <c r="H58" s="4" t="n">
        <v>13</v>
      </c>
      <c r="I58" s="4" t="n">
        <v>78.2</v>
      </c>
      <c r="J58" s="4" t="n">
        <v>65.3</v>
      </c>
      <c r="K58" s="4" t="n">
        <v>29.8</v>
      </c>
      <c r="L58" s="4" t="n">
        <v>11</v>
      </c>
      <c r="M58" s="4" t="n">
        <v>0</v>
      </c>
      <c r="N58" s="4" t="n">
        <v>147</v>
      </c>
      <c r="O58" s="4" t="n">
        <v>0</v>
      </c>
      <c r="P58" s="4" t="n">
        <v>15</v>
      </c>
      <c r="Q58" s="4" t="n">
        <v>0</v>
      </c>
    </row>
    <row r="59">
      <c r="A59" s="4" t="inlineStr">
        <is>
          <t>藤村_新生.txt</t>
        </is>
      </c>
      <c r="B59" s="4" t="n">
        <v>217887</v>
      </c>
      <c r="C59" s="4" t="n">
        <v>10925</v>
      </c>
      <c r="D59" s="4" t="n">
        <v>50.14</v>
      </c>
      <c r="E59" s="4" t="n">
        <v>24.18</v>
      </c>
      <c r="F59" s="4" t="n">
        <v>0.339</v>
      </c>
      <c r="G59" s="4" t="n">
        <v>0.0109</v>
      </c>
      <c r="H59" s="4" t="n">
        <v>12.9</v>
      </c>
      <c r="I59" s="4" t="n">
        <v>33.4</v>
      </c>
      <c r="J59" s="4" t="n">
        <v>68</v>
      </c>
      <c r="K59" s="4" t="n">
        <v>88.3</v>
      </c>
      <c r="L59" s="4" t="n">
        <v>0</v>
      </c>
      <c r="M59" s="4" t="n">
        <v>0</v>
      </c>
      <c r="N59" s="4" t="n">
        <v>274</v>
      </c>
      <c r="O59" s="4" t="n">
        <v>0</v>
      </c>
      <c r="P59" s="4" t="n">
        <v>835</v>
      </c>
      <c r="Q59" s="4" t="n">
        <v>0</v>
      </c>
    </row>
    <row r="60">
      <c r="A60" s="4" t="inlineStr">
        <is>
          <t>藤村_破戒.txt</t>
        </is>
      </c>
      <c r="B60" s="4" t="n">
        <v>138602</v>
      </c>
      <c r="C60" s="4" t="n">
        <v>8468</v>
      </c>
      <c r="D60" s="4" t="n">
        <v>61.1</v>
      </c>
      <c r="E60" s="4" t="n">
        <v>23.11</v>
      </c>
      <c r="F60" s="4" t="n">
        <v>0.3713</v>
      </c>
      <c r="G60" s="4" t="n">
        <v>0.0014</v>
      </c>
      <c r="H60" s="4" t="n">
        <v>20.9</v>
      </c>
      <c r="I60" s="4" t="n">
        <v>36.9</v>
      </c>
      <c r="J60" s="4" t="n">
        <v>47.3</v>
      </c>
      <c r="K60" s="4" t="n">
        <v>21.3</v>
      </c>
      <c r="L60" s="4" t="n">
        <v>0</v>
      </c>
      <c r="M60" s="4" t="n">
        <v>218</v>
      </c>
      <c r="N60" s="4" t="n">
        <v>395</v>
      </c>
      <c r="O60" s="4" t="n">
        <v>0</v>
      </c>
      <c r="P60" s="4" t="n">
        <v>0</v>
      </c>
      <c r="Q60" s="4" t="n">
        <v>0</v>
      </c>
    </row>
    <row r="61">
      <c r="A61" s="4" t="inlineStr">
        <is>
          <t>鴎外_ヰタ.txt</t>
        </is>
      </c>
      <c r="B61" s="4" t="n">
        <v>38708</v>
      </c>
      <c r="C61" s="4" t="n">
        <v>4620</v>
      </c>
      <c r="D61" s="4" t="n">
        <v>119.36</v>
      </c>
      <c r="E61" s="4" t="n">
        <v>16.9</v>
      </c>
      <c r="F61" s="4" t="n">
        <v>0.3168</v>
      </c>
      <c r="G61" s="4" t="n">
        <v>0.0015</v>
      </c>
      <c r="H61" s="4" t="n">
        <v>13.2</v>
      </c>
      <c r="I61" s="4" t="n">
        <v>10.1</v>
      </c>
      <c r="J61" s="4" t="n">
        <v>138.2</v>
      </c>
      <c r="K61" s="4" t="n">
        <v>8.800000000000001</v>
      </c>
      <c r="L61" s="4" t="n">
        <v>0</v>
      </c>
      <c r="M61" s="4" t="n">
        <v>0</v>
      </c>
      <c r="N61" s="4" t="n">
        <v>39</v>
      </c>
      <c r="O61" s="4" t="n">
        <v>0</v>
      </c>
      <c r="P61" s="4" t="n">
        <v>856</v>
      </c>
      <c r="Q61" s="4" t="n">
        <v>0</v>
      </c>
    </row>
    <row r="62">
      <c r="A62" s="4" t="inlineStr">
        <is>
          <t>鴎外_伊沢蘭軒.txt</t>
        </is>
      </c>
      <c r="B62" s="4" t="n">
        <v>336111</v>
      </c>
      <c r="C62" s="4" t="n">
        <v>24427</v>
      </c>
      <c r="D62" s="4" t="n">
        <v>72.68000000000001</v>
      </c>
      <c r="E62" s="4" t="n">
        <v>16.23</v>
      </c>
      <c r="F62" s="4" t="n">
        <v>0.5132</v>
      </c>
      <c r="G62" s="4" t="n">
        <v>0.0013</v>
      </c>
      <c r="H62" s="4" t="n">
        <v>82.09999999999999</v>
      </c>
      <c r="I62" s="4" t="n">
        <v>2.1</v>
      </c>
      <c r="J62" s="4" t="n">
        <v>41.7</v>
      </c>
      <c r="K62" s="4" t="n">
        <v>3</v>
      </c>
      <c r="L62" s="4" t="n">
        <v>166</v>
      </c>
      <c r="M62" s="4" t="n">
        <v>0</v>
      </c>
      <c r="N62" s="4" t="n">
        <v>477</v>
      </c>
      <c r="O62" s="4" t="n">
        <v>0</v>
      </c>
      <c r="P62" s="4" t="n">
        <v>0</v>
      </c>
      <c r="Q62" s="4" t="n">
        <v>0</v>
      </c>
    </row>
    <row r="63">
      <c r="A63" s="4" t="inlineStr">
        <is>
          <t>鴎外_大塩平八郎.txt</t>
        </is>
      </c>
      <c r="B63" s="4" t="n">
        <v>30555</v>
      </c>
      <c r="C63" s="4" t="n">
        <v>4558</v>
      </c>
      <c r="D63" s="4" t="n">
        <v>149.17</v>
      </c>
      <c r="E63" s="4" t="n">
        <v>20.93</v>
      </c>
      <c r="F63" s="4" t="n">
        <v>0.4724</v>
      </c>
      <c r="G63" s="4" t="n">
        <v>0.0002</v>
      </c>
      <c r="H63" s="4" t="n">
        <v>14.4</v>
      </c>
      <c r="I63" s="4" t="n">
        <v>11.1</v>
      </c>
      <c r="J63" s="4" t="n">
        <v>18</v>
      </c>
      <c r="K63" s="4" t="n">
        <v>2</v>
      </c>
      <c r="L63" s="4" t="n">
        <v>0</v>
      </c>
      <c r="M63" s="4" t="n">
        <v>0</v>
      </c>
      <c r="N63" s="4" t="n">
        <v>50</v>
      </c>
      <c r="O63" s="4" t="n">
        <v>0</v>
      </c>
      <c r="P63" s="4" t="n">
        <v>0</v>
      </c>
      <c r="Q63" s="4" t="n">
        <v>55</v>
      </c>
    </row>
    <row r="64">
      <c r="A64" s="4" t="inlineStr">
        <is>
          <t>鴎外_渋江抽斎.txt</t>
        </is>
      </c>
      <c r="B64" s="4" t="n">
        <v>112138</v>
      </c>
      <c r="C64" s="4" t="n">
        <v>11143</v>
      </c>
      <c r="D64" s="4" t="n">
        <v>99.37</v>
      </c>
      <c r="E64" s="4" t="n">
        <v>22.37</v>
      </c>
      <c r="F64" s="4" t="n">
        <v>0.4221</v>
      </c>
      <c r="G64" s="4" t="n">
        <v>0.0029</v>
      </c>
      <c r="H64" s="4" t="n">
        <v>22.5</v>
      </c>
      <c r="I64" s="4" t="n">
        <v>6.7</v>
      </c>
      <c r="J64" s="4" t="n">
        <v>26.5</v>
      </c>
      <c r="K64" s="4" t="n">
        <v>1.8</v>
      </c>
      <c r="L64" s="4" t="n">
        <v>17</v>
      </c>
      <c r="M64" s="4" t="n">
        <v>0</v>
      </c>
      <c r="N64" s="4" t="n">
        <v>116</v>
      </c>
      <c r="O64" s="4" t="n">
        <v>0</v>
      </c>
      <c r="P64" s="4" t="n">
        <v>0</v>
      </c>
      <c r="Q64" s="4" t="n">
        <v>0</v>
      </c>
    </row>
    <row r="65">
      <c r="A65" s="4" t="inlineStr">
        <is>
          <t>鴎外_青年.txt</t>
        </is>
      </c>
      <c r="B65" s="4" t="n">
        <v>79931</v>
      </c>
      <c r="C65" s="4" t="n">
        <v>7656</v>
      </c>
      <c r="D65" s="4" t="n">
        <v>95.78</v>
      </c>
      <c r="E65" s="4" t="n">
        <v>21.23</v>
      </c>
      <c r="F65" s="4" t="n">
        <v>0.3091</v>
      </c>
      <c r="G65" s="4" t="n">
        <v>0.0102</v>
      </c>
      <c r="H65" s="4" t="n">
        <v>11.5</v>
      </c>
      <c r="I65" s="4" t="n">
        <v>54.8</v>
      </c>
      <c r="J65" s="4" t="n">
        <v>33.7</v>
      </c>
      <c r="K65" s="4" t="n">
        <v>1.6</v>
      </c>
      <c r="L65" s="4" t="n">
        <v>2</v>
      </c>
      <c r="M65" s="4" t="n">
        <v>0</v>
      </c>
      <c r="N65" s="4" t="n">
        <v>114</v>
      </c>
      <c r="O65" s="4" t="n">
        <v>0</v>
      </c>
      <c r="P65" s="4" t="n">
        <v>1895</v>
      </c>
      <c r="Q65" s="4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14" customWidth="1" min="4" max="4"/>
    <col width="12" customWidth="1" min="5" max="5"/>
    <col width="3" customWidth="1" min="6" max="6"/>
    <col width="90" customWidth="1" min="7" max="7"/>
  </cols>
  <sheetData>
    <row r="1">
      <c r="A1" s="9" t="inlineStr">
        <is>
          <t>代表性の集計（metadata_v2 を COUNTIFS で参照。metadata_v2 を編集すると自動更新される）</t>
        </is>
      </c>
    </row>
    <row r="3">
      <c r="A3" s="1" t="inlineStr">
        <is>
          <t>時代区分（period）</t>
        </is>
      </c>
    </row>
    <row r="4">
      <c r="A4" s="10" t="inlineStr">
        <is>
          <t>区分</t>
        </is>
      </c>
      <c r="B4" s="10" t="inlineStr">
        <is>
          <t>作品数</t>
        </is>
      </c>
      <c r="C4" s="10" t="inlineStr">
        <is>
          <t>構成比</t>
        </is>
      </c>
      <c r="D4" s="10" t="inlineStr">
        <is>
          <t>延べ語数</t>
        </is>
      </c>
      <c r="E4" s="10" t="inlineStr">
        <is>
          <t>語数構成比</t>
        </is>
      </c>
    </row>
    <row r="5">
      <c r="A5" s="11" t="inlineStr">
        <is>
          <t>1_明治前期(〜1886)</t>
        </is>
      </c>
      <c r="B5" s="11">
        <f>COUNTIF(metadata_v2!$O$2:$O$65,A5)</f>
        <v/>
      </c>
      <c r="C5" s="12">
        <f>IF($B$11=0,0,B5/$B$11)</f>
        <v/>
      </c>
      <c r="D5" s="13">
        <f>SUMIF(metadata_v2!$O$2:$O$65,A5,metadata_v2!$AB$2:$AB$65)</f>
        <v/>
      </c>
      <c r="E5" s="12">
        <f>IF($D$11=0,0,D5/$D$11)</f>
        <v/>
      </c>
    </row>
    <row r="6">
      <c r="A6" s="11" t="inlineStr">
        <is>
          <t>2_明治中期(1887-1899)</t>
        </is>
      </c>
      <c r="B6" s="11">
        <f>COUNTIF(metadata_v2!$O$2:$O$65,A6)</f>
        <v/>
      </c>
      <c r="C6" s="12">
        <f>IF($B$11=0,0,B6/$B$11)</f>
        <v/>
      </c>
      <c r="D6" s="13">
        <f>SUMIF(metadata_v2!$O$2:$O$65,A6,metadata_v2!$AB$2:$AB$65)</f>
        <v/>
      </c>
      <c r="E6" s="12">
        <f>IF($D$11=0,0,D6/$D$11)</f>
        <v/>
      </c>
    </row>
    <row r="7">
      <c r="A7" s="11" t="inlineStr">
        <is>
          <t>3_明治後期(1900-1911)</t>
        </is>
      </c>
      <c r="B7" s="11">
        <f>COUNTIF(metadata_v2!$O$2:$O$65,A7)</f>
        <v/>
      </c>
      <c r="C7" s="12">
        <f>IF($B$11=0,0,B7/$B$11)</f>
        <v/>
      </c>
      <c r="D7" s="13">
        <f>SUMIF(metadata_v2!$O$2:$O$65,A7,metadata_v2!$AB$2:$AB$65)</f>
        <v/>
      </c>
      <c r="E7" s="12">
        <f>IF($D$11=0,0,D7/$D$11)</f>
        <v/>
      </c>
    </row>
    <row r="8">
      <c r="A8" s="11" t="inlineStr">
        <is>
          <t>4_大正(1912-1925)</t>
        </is>
      </c>
      <c r="B8" s="11">
        <f>COUNTIF(metadata_v2!$O$2:$O$65,A8)</f>
        <v/>
      </c>
      <c r="C8" s="12">
        <f>IF($B$11=0,0,B8/$B$11)</f>
        <v/>
      </c>
      <c r="D8" s="13">
        <f>SUMIF(metadata_v2!$O$2:$O$65,A8,metadata_v2!$AB$2:$AB$65)</f>
        <v/>
      </c>
      <c r="E8" s="12">
        <f>IF($D$11=0,0,D8/$D$11)</f>
        <v/>
      </c>
    </row>
    <row r="9">
      <c r="A9" s="11" t="inlineStr">
        <is>
          <t>5_昭和戦前(1926-1944)</t>
        </is>
      </c>
      <c r="B9" s="11">
        <f>COUNTIF(metadata_v2!$O$2:$O$65,A9)</f>
        <v/>
      </c>
      <c r="C9" s="12">
        <f>IF($B$11=0,0,B9/$B$11)</f>
        <v/>
      </c>
      <c r="D9" s="13">
        <f>SUMIF(metadata_v2!$O$2:$O$65,A9,metadata_v2!$AB$2:$AB$65)</f>
        <v/>
      </c>
      <c r="E9" s="12">
        <f>IF($D$11=0,0,D9/$D$11)</f>
        <v/>
      </c>
    </row>
    <row r="10">
      <c r="A10" s="11" t="inlineStr">
        <is>
          <t>6_昭和戦後(1945-)</t>
        </is>
      </c>
      <c r="B10" s="11">
        <f>COUNTIF(metadata_v2!$O$2:$O$65,A10)</f>
        <v/>
      </c>
      <c r="C10" s="12">
        <f>IF($B$11=0,0,B10/$B$11)</f>
        <v/>
      </c>
      <c r="D10" s="13">
        <f>SUMIF(metadata_v2!$O$2:$O$65,A10,metadata_v2!$AB$2:$AB$65)</f>
        <v/>
      </c>
      <c r="E10" s="12">
        <f>IF($D$11=0,0,D10/$D$11)</f>
        <v/>
      </c>
    </row>
    <row r="11">
      <c r="A11" s="14" t="inlineStr">
        <is>
          <t>合計</t>
        </is>
      </c>
      <c r="B11" s="14">
        <f>SUM(B5:B10)</f>
        <v/>
      </c>
      <c r="D11" s="15">
        <f>SUM(D5:D10)</f>
        <v/>
      </c>
      <c r="G11" s="16" t="inlineStr">
        <is>
          <t>1930年以前の明治期3区分で12点＝全体の19%にすぎない。昭和戦前が26点＝41%を占める。</t>
        </is>
      </c>
    </row>
    <row r="13">
      <c r="A13" s="1" t="inlineStr">
        <is>
          <t>文体（style_class）</t>
        </is>
      </c>
    </row>
    <row r="14">
      <c r="A14" s="10" t="inlineStr">
        <is>
          <t>区分</t>
        </is>
      </c>
      <c r="B14" s="10" t="inlineStr">
        <is>
          <t>作品数</t>
        </is>
      </c>
      <c r="C14" s="10" t="inlineStr">
        <is>
          <t>構成比</t>
        </is>
      </c>
      <c r="D14" s="10" t="inlineStr">
        <is>
          <t>延べ語数</t>
        </is>
      </c>
      <c r="E14" s="10" t="inlineStr">
        <is>
          <t>語数構成比</t>
        </is>
      </c>
    </row>
    <row r="15">
      <c r="A15" s="11" t="inlineStr">
        <is>
          <t>A_文語体</t>
        </is>
      </c>
      <c r="B15" s="11">
        <f>COUNTIF(metadata_v2!$AQ$2:$AQ$65,A15)</f>
        <v/>
      </c>
      <c r="C15" s="12">
        <f>IF($B$18=0,0,B15/$B$18)</f>
        <v/>
      </c>
      <c r="D15" s="13">
        <f>SUMIF(metadata_v2!$AQ$2:$AQ$65,A15,metadata_v2!$AB$2:$AB$65)</f>
        <v/>
      </c>
      <c r="E15" s="12">
        <f>IF($D$18=0,0,D15/$D$18)</f>
        <v/>
      </c>
    </row>
    <row r="16">
      <c r="A16" s="11" t="inlineStr">
        <is>
          <t>B_過渡的文体</t>
        </is>
      </c>
      <c r="B16" s="11">
        <f>COUNTIF(metadata_v2!$AQ$2:$AQ$65,A16)</f>
        <v/>
      </c>
      <c r="C16" s="12">
        <f>IF($B$18=0,0,B16/$B$18)</f>
        <v/>
      </c>
      <c r="D16" s="13">
        <f>SUMIF(metadata_v2!$AQ$2:$AQ$65,A16,metadata_v2!$AB$2:$AB$65)</f>
        <v/>
      </c>
      <c r="E16" s="12">
        <f>IF($D$18=0,0,D16/$D$18)</f>
        <v/>
      </c>
    </row>
    <row r="17">
      <c r="A17" s="11" t="inlineStr">
        <is>
          <t>C_口語体</t>
        </is>
      </c>
      <c r="B17" s="11">
        <f>COUNTIF(metadata_v2!$AQ$2:$AQ$65,A17)</f>
        <v/>
      </c>
      <c r="C17" s="12">
        <f>IF($B$18=0,0,B17/$B$18)</f>
        <v/>
      </c>
      <c r="D17" s="13">
        <f>SUMIF(metadata_v2!$AQ$2:$AQ$65,A17,metadata_v2!$AB$2:$AB$65)</f>
        <v/>
      </c>
      <c r="E17" s="12">
        <f>IF($D$18=0,0,D17/$D$18)</f>
        <v/>
      </c>
    </row>
    <row r="18">
      <c r="A18" s="14" t="inlineStr">
        <is>
          <t>合計</t>
        </is>
      </c>
      <c r="B18" s="14">
        <f>SUM(B15:B17)</f>
        <v/>
      </c>
      <c r="D18" s="15">
        <f>SUM(D15:D17)</f>
        <v/>
      </c>
      <c r="G18" s="16" t="inlineStr">
        <is>
          <t>文語体が1点（『学問のすすめ』）のみ。言文一致以前／過渡期の実態を記述できる水準にない。</t>
        </is>
      </c>
    </row>
    <row r="20">
      <c r="A20" s="1" t="inlineStr">
        <is>
          <t>仮名遣い（kana_orthography）</t>
        </is>
      </c>
    </row>
    <row r="21">
      <c r="A21" s="10" t="inlineStr">
        <is>
          <t>区分</t>
        </is>
      </c>
      <c r="B21" s="10" t="inlineStr">
        <is>
          <t>作品数</t>
        </is>
      </c>
      <c r="C21" s="10" t="inlineStr">
        <is>
          <t>構成比</t>
        </is>
      </c>
      <c r="D21" s="10" t="inlineStr">
        <is>
          <t>延べ語数</t>
        </is>
      </c>
      <c r="E21" s="10" t="inlineStr">
        <is>
          <t>語数構成比</t>
        </is>
      </c>
    </row>
    <row r="22">
      <c r="A22" s="11" t="inlineStr">
        <is>
          <t>新字新仮名</t>
        </is>
      </c>
      <c r="B22" s="11">
        <f>COUNTIF(metadata_v2!$Y$2:$Y$65,A22)</f>
        <v/>
      </c>
      <c r="C22" s="12">
        <f>IF($B$25=0,0,B22/$B$25)</f>
        <v/>
      </c>
      <c r="D22" s="13">
        <f>SUMIF(metadata_v2!$Y$2:$Y$65,A22,metadata_v2!$AB$2:$AB$65)</f>
        <v/>
      </c>
      <c r="E22" s="12">
        <f>IF($D$25=0,0,D22/$D$25)</f>
        <v/>
      </c>
    </row>
    <row r="23">
      <c r="A23" s="11" t="inlineStr">
        <is>
          <t>新字旧仮名</t>
        </is>
      </c>
      <c r="B23" s="11">
        <f>COUNTIF(metadata_v2!$Y$2:$Y$65,A23)</f>
        <v/>
      </c>
      <c r="C23" s="12">
        <f>IF($B$25=0,0,B23/$B$25)</f>
        <v/>
      </c>
      <c r="D23" s="13">
        <f>SUMIF(metadata_v2!$Y$2:$Y$65,A23,metadata_v2!$AB$2:$AB$65)</f>
        <v/>
      </c>
      <c r="E23" s="12">
        <f>IF($D$25=0,0,D23/$D$25)</f>
        <v/>
      </c>
    </row>
    <row r="24">
      <c r="A24" s="11" t="inlineStr">
        <is>
          <t>旧字旧仮名</t>
        </is>
      </c>
      <c r="B24" s="11">
        <f>COUNTIF(metadata_v2!$Y$2:$Y$65,A24)</f>
        <v/>
      </c>
      <c r="C24" s="12">
        <f>IF($B$25=0,0,B24/$B$25)</f>
        <v/>
      </c>
      <c r="D24" s="13">
        <f>SUMIF(metadata_v2!$Y$2:$Y$65,A24,metadata_v2!$AB$2:$AB$65)</f>
        <v/>
      </c>
      <c r="E24" s="12">
        <f>IF($D$25=0,0,D24/$D$25)</f>
        <v/>
      </c>
    </row>
    <row r="25">
      <c r="A25" s="14" t="inlineStr">
        <is>
          <t>合計</t>
        </is>
      </c>
      <c r="B25" s="14">
        <f>SUM(B22:B24)</f>
        <v/>
      </c>
      <c r="D25" s="15">
        <f>SUM(D22:D24)</f>
        <v/>
      </c>
      <c r="G25" s="16" t="inlineStr">
        <is>
          <t>旧字旧仮名が0点。青空文庫は同一作品に新字／旧字の両版を持つことがあり，選択を統一すべき。</t>
        </is>
      </c>
    </row>
    <row r="27">
      <c r="A27" s="1" t="inlineStr">
        <is>
          <t>NDC</t>
        </is>
      </c>
    </row>
    <row r="28">
      <c r="A28" s="10" t="inlineStr">
        <is>
          <t>区分</t>
        </is>
      </c>
      <c r="B28" s="10" t="inlineStr">
        <is>
          <t>作品数</t>
        </is>
      </c>
      <c r="C28" s="10" t="inlineStr">
        <is>
          <t>構成比</t>
        </is>
      </c>
      <c r="D28" s="10" t="inlineStr">
        <is>
          <t>延べ語数</t>
        </is>
      </c>
      <c r="E28" s="10" t="inlineStr">
        <is>
          <t>語数構成比</t>
        </is>
      </c>
    </row>
    <row r="29">
      <c r="A29" s="11" t="inlineStr">
        <is>
          <t>913</t>
        </is>
      </c>
      <c r="B29" s="11">
        <f>COUNTIF(metadata_v2!$P$2:$P$65,A29)</f>
        <v/>
      </c>
      <c r="C29" s="12">
        <f>IF($B$36=0,0,B29/$B$36)</f>
        <v/>
      </c>
      <c r="D29" s="13">
        <f>SUMIF(metadata_v2!$P$2:$P$65,A29,metadata_v2!$AB$2:$AB$65)</f>
        <v/>
      </c>
      <c r="E29" s="12">
        <f>IF($D$36=0,0,D29/$D$36)</f>
        <v/>
      </c>
    </row>
    <row r="30">
      <c r="A30" s="11" t="inlineStr">
        <is>
          <t>K913</t>
        </is>
      </c>
      <c r="B30" s="11">
        <f>COUNTIF(metadata_v2!$P$2:$P$65,A30)</f>
        <v/>
      </c>
      <c r="C30" s="12">
        <f>IF($B$36=0,0,B30/$B$36)</f>
        <v/>
      </c>
      <c r="D30" s="13">
        <f>SUMIF(metadata_v2!$P$2:$P$65,A30,metadata_v2!$AB$2:$AB$65)</f>
        <v/>
      </c>
      <c r="E30" s="12">
        <f>IF($D$36=0,0,D30/$D$36)</f>
        <v/>
      </c>
    </row>
    <row r="31">
      <c r="A31" s="11" t="inlineStr">
        <is>
          <t>914</t>
        </is>
      </c>
      <c r="B31" s="11">
        <f>COUNTIF(metadata_v2!$P$2:$P$65,A31)</f>
        <v/>
      </c>
      <c r="C31" s="12">
        <f>IF($B$36=0,0,B31/$B$36)</f>
        <v/>
      </c>
      <c r="D31" s="13">
        <f>SUMIF(metadata_v2!$P$2:$P$65,A31,metadata_v2!$AB$2:$AB$65)</f>
        <v/>
      </c>
      <c r="E31" s="12">
        <f>IF($D$36=0,0,D31/$D$36)</f>
        <v/>
      </c>
    </row>
    <row r="32">
      <c r="A32" s="11" t="inlineStr">
        <is>
          <t>915</t>
        </is>
      </c>
      <c r="B32" s="11">
        <f>COUNTIF(metadata_v2!$P$2:$P$65,A32)</f>
        <v/>
      </c>
      <c r="C32" s="12">
        <f>IF($B$36=0,0,B32/$B$36)</f>
        <v/>
      </c>
      <c r="D32" s="13">
        <f>SUMIF(metadata_v2!$P$2:$P$65,A32,metadata_v2!$AB$2:$AB$65)</f>
        <v/>
      </c>
      <c r="E32" s="12">
        <f>IF($D$36=0,0,D32/$D$36)</f>
        <v/>
      </c>
    </row>
    <row r="33">
      <c r="A33" s="11" t="inlineStr">
        <is>
          <t>289</t>
        </is>
      </c>
      <c r="B33" s="11">
        <f>COUNTIF(metadata_v2!$P$2:$P$65,A33)</f>
        <v/>
      </c>
      <c r="C33" s="12">
        <f>IF($B$36=0,0,B33/$B$36)</f>
        <v/>
      </c>
      <c r="D33" s="13">
        <f>SUMIF(metadata_v2!$P$2:$P$65,A33,metadata_v2!$AB$2:$AB$65)</f>
        <v/>
      </c>
      <c r="E33" s="12">
        <f>IF($D$36=0,0,D33/$D$36)</f>
        <v/>
      </c>
    </row>
    <row r="34">
      <c r="A34" s="11" t="inlineStr">
        <is>
          <t>370</t>
        </is>
      </c>
      <c r="B34" s="11">
        <f>COUNTIF(metadata_v2!$P$2:$P$65,A34)</f>
        <v/>
      </c>
      <c r="C34" s="12">
        <f>IF($B$36=0,0,B34/$B$36)</f>
        <v/>
      </c>
      <c r="D34" s="13">
        <f>SUMIF(metadata_v2!$P$2:$P$65,A34,metadata_v2!$AB$2:$AB$65)</f>
        <v/>
      </c>
      <c r="E34" s="12">
        <f>IF($D$36=0,0,D34/$D$36)</f>
        <v/>
      </c>
    </row>
    <row r="35">
      <c r="A35" s="11" t="inlineStr">
        <is>
          <t>180</t>
        </is>
      </c>
      <c r="B35" s="11">
        <f>COUNTIF(metadata_v2!$P$2:$P$65,A35)</f>
        <v/>
      </c>
      <c r="C35" s="12">
        <f>IF($B$36=0,0,B35/$B$36)</f>
        <v/>
      </c>
      <c r="D35" s="13">
        <f>SUMIF(metadata_v2!$P$2:$P$65,A35,metadata_v2!$AB$2:$AB$65)</f>
        <v/>
      </c>
      <c r="E35" s="12">
        <f>IF($D$36=0,0,D35/$D$36)</f>
        <v/>
      </c>
    </row>
    <row r="36">
      <c r="A36" s="14" t="inlineStr">
        <is>
          <t>合計</t>
        </is>
      </c>
      <c r="B36" s="14">
        <f>SUM(B29:B35)</f>
        <v/>
      </c>
      <c r="D36" s="15">
        <f>SUM(D29:D35)</f>
        <v/>
      </c>
      <c r="G36" s="16" t="inlineStr">
        <is>
          <t>913 が51点＝80%。随筆・評論(914)は2点，戯曲(912)・韻文(911)はゼロ。</t>
        </is>
      </c>
    </row>
    <row r="38">
      <c r="A38" s="1" t="inlineStr">
        <is>
          <t>ジャンル第1層（genre_main）</t>
        </is>
      </c>
    </row>
    <row r="39">
      <c r="A39" s="10" t="inlineStr">
        <is>
          <t>区分</t>
        </is>
      </c>
      <c r="B39" s="10" t="inlineStr">
        <is>
          <t>作品数</t>
        </is>
      </c>
      <c r="C39" s="10" t="inlineStr">
        <is>
          <t>構成比</t>
        </is>
      </c>
      <c r="D39" s="10" t="inlineStr">
        <is>
          <t>延べ語数</t>
        </is>
      </c>
      <c r="E39" s="10" t="inlineStr">
        <is>
          <t>語数構成比</t>
        </is>
      </c>
    </row>
    <row r="40">
      <c r="A40" s="11" t="inlineStr">
        <is>
          <t>Fiction</t>
        </is>
      </c>
      <c r="B40" s="11">
        <f>COUNTIF(metadata_v2!$R$2:$R$65,A40)</f>
        <v/>
      </c>
      <c r="C40" s="12">
        <f>IF($B$42=0,0,B40/$B$42)</f>
        <v/>
      </c>
      <c r="D40" s="13">
        <f>SUMIF(metadata_v2!$R$2:$R$65,A40,metadata_v2!$AB$2:$AB$65)</f>
        <v/>
      </c>
      <c r="E40" s="12">
        <f>IF($D$42=0,0,D40/$D$42)</f>
        <v/>
      </c>
    </row>
    <row r="41">
      <c r="A41" s="11" t="inlineStr">
        <is>
          <t>Nonfiction</t>
        </is>
      </c>
      <c r="B41" s="11">
        <f>COUNTIF(metadata_v2!$R$2:$R$65,A41)</f>
        <v/>
      </c>
      <c r="C41" s="12">
        <f>IF($B$42=0,0,B41/$B$42)</f>
        <v/>
      </c>
      <c r="D41" s="13">
        <f>SUMIF(metadata_v2!$R$2:$R$65,A41,metadata_v2!$AB$2:$AB$65)</f>
        <v/>
      </c>
      <c r="E41" s="12">
        <f>IF($D$42=0,0,D41/$D$42)</f>
        <v/>
      </c>
    </row>
    <row r="42">
      <c r="A42" s="14" t="inlineStr">
        <is>
          <t>合計</t>
        </is>
      </c>
      <c r="B42" s="14">
        <f>SUM(B40:B41)</f>
        <v/>
      </c>
      <c r="D42" s="15">
        <f>SUM(D40:D41)</f>
        <v/>
      </c>
    </row>
    <row r="44">
      <c r="A44" s="1" t="inlineStr">
        <is>
          <t>読者層（audience）</t>
        </is>
      </c>
    </row>
    <row r="45">
      <c r="A45" s="10" t="inlineStr">
        <is>
          <t>区分</t>
        </is>
      </c>
      <c r="B45" s="10" t="inlineStr">
        <is>
          <t>作品数</t>
        </is>
      </c>
      <c r="C45" s="10" t="inlineStr">
        <is>
          <t>構成比</t>
        </is>
      </c>
      <c r="D45" s="10" t="inlineStr">
        <is>
          <t>延べ語数</t>
        </is>
      </c>
      <c r="E45" s="10" t="inlineStr">
        <is>
          <t>語数構成比</t>
        </is>
      </c>
    </row>
    <row r="46">
      <c r="A46" s="11" t="inlineStr">
        <is>
          <t>general</t>
        </is>
      </c>
      <c r="B46" s="11">
        <f>COUNTIF(metadata_v2!$U$2:$U$65,A46)</f>
        <v/>
      </c>
      <c r="C46" s="12">
        <f>IF($B$48=0,0,B46/$B$48)</f>
        <v/>
      </c>
      <c r="D46" s="13">
        <f>SUMIF(metadata_v2!$U$2:$U$65,A46,metadata_v2!$AB$2:$AB$65)</f>
        <v/>
      </c>
      <c r="E46" s="12">
        <f>IF($D$48=0,0,D46/$D$48)</f>
        <v/>
      </c>
    </row>
    <row r="47">
      <c r="A47" s="11" t="inlineStr">
        <is>
          <t>juvenile</t>
        </is>
      </c>
      <c r="B47" s="11">
        <f>COUNTIF(metadata_v2!$U$2:$U$65,A47)</f>
        <v/>
      </c>
      <c r="C47" s="12">
        <f>IF($B$48=0,0,B47/$B$48)</f>
        <v/>
      </c>
      <c r="D47" s="13">
        <f>SUMIF(metadata_v2!$U$2:$U$65,A47,metadata_v2!$AB$2:$AB$65)</f>
        <v/>
      </c>
      <c r="E47" s="12">
        <f>IF($D$48=0,0,D47/$D$48)</f>
        <v/>
      </c>
    </row>
    <row r="48">
      <c r="A48" s="14" t="inlineStr">
        <is>
          <t>合計</t>
        </is>
      </c>
      <c r="B48" s="14">
        <f>SUM(B46:B47)</f>
        <v/>
      </c>
      <c r="D48" s="15">
        <f>SUM(D46:D47)</f>
        <v/>
      </c>
      <c r="G48" s="16" t="inlineStr">
        <is>
          <t>児童書7点はすべて乱歩・海野十三に由来する。</t>
        </is>
      </c>
    </row>
    <row r="50">
      <c r="A50" s="1" t="inlineStr">
        <is>
          <t>文化的位置（register_level）</t>
        </is>
      </c>
    </row>
    <row r="51">
      <c r="A51" s="10" t="inlineStr">
        <is>
          <t>区分</t>
        </is>
      </c>
      <c r="B51" s="10" t="inlineStr">
        <is>
          <t>作品数</t>
        </is>
      </c>
      <c r="C51" s="10" t="inlineStr">
        <is>
          <t>構成比</t>
        </is>
      </c>
      <c r="D51" s="10" t="inlineStr">
        <is>
          <t>延べ語数</t>
        </is>
      </c>
      <c r="E51" s="10" t="inlineStr">
        <is>
          <t>語数構成比</t>
        </is>
      </c>
    </row>
    <row r="52">
      <c r="A52" s="11" t="inlineStr">
        <is>
          <t>canonical</t>
        </is>
      </c>
      <c r="B52" s="11">
        <f>COUNTIF(metadata_v2!$V$2:$V$65,A52)</f>
        <v/>
      </c>
      <c r="C52" s="12">
        <f>IF($B$56=0,0,B52/$B$56)</f>
        <v/>
      </c>
      <c r="D52" s="13">
        <f>SUMIF(metadata_v2!$V$2:$V$65,A52,metadata_v2!$AB$2:$AB$65)</f>
        <v/>
      </c>
      <c r="E52" s="12">
        <f>IF($D$56=0,0,D52/$D$56)</f>
        <v/>
      </c>
    </row>
    <row r="53">
      <c r="A53" s="11" t="inlineStr">
        <is>
          <t>middlebrow</t>
        </is>
      </c>
      <c r="B53" s="11">
        <f>COUNTIF(metadata_v2!$V$2:$V$65,A53)</f>
        <v/>
      </c>
      <c r="C53" s="12">
        <f>IF($B$56=0,0,B53/$B$56)</f>
        <v/>
      </c>
      <c r="D53" s="13">
        <f>SUMIF(metadata_v2!$V$2:$V$65,A53,metadata_v2!$AB$2:$AB$65)</f>
        <v/>
      </c>
      <c r="E53" s="12">
        <f>IF($D$56=0,0,D53/$D$56)</f>
        <v/>
      </c>
    </row>
    <row r="54">
      <c r="A54" s="11" t="inlineStr">
        <is>
          <t>popular</t>
        </is>
      </c>
      <c r="B54" s="11">
        <f>COUNTIF(metadata_v2!$V$2:$V$65,A54)</f>
        <v/>
      </c>
      <c r="C54" s="12">
        <f>IF($B$56=0,0,B54/$B$56)</f>
        <v/>
      </c>
      <c r="D54" s="13">
        <f>SUMIF(metadata_v2!$V$2:$V$65,A54,metadata_v2!$AB$2:$AB$65)</f>
        <v/>
      </c>
      <c r="E54" s="12">
        <f>IF($D$56=0,0,D54/$D$56)</f>
        <v/>
      </c>
    </row>
    <row r="55">
      <c r="A55" s="11" t="inlineStr">
        <is>
          <t>documentary</t>
        </is>
      </c>
      <c r="B55" s="11">
        <f>COUNTIF(metadata_v2!$V$2:$V$65,A55)</f>
        <v/>
      </c>
      <c r="C55" s="12">
        <f>IF($B$56=0,0,B55/$B$56)</f>
        <v/>
      </c>
      <c r="D55" s="13">
        <f>SUMIF(metadata_v2!$V$2:$V$65,A55,metadata_v2!$AB$2:$AB$65)</f>
        <v/>
      </c>
      <c r="E55" s="12">
        <f>IF($D$56=0,0,D55/$D$56)</f>
        <v/>
      </c>
    </row>
    <row r="56">
      <c r="A56" s="14" t="inlineStr">
        <is>
          <t>合計</t>
        </is>
      </c>
      <c r="B56" s="14">
        <f>SUM(B52:B55)</f>
        <v/>
      </c>
      <c r="D56" s="15">
        <f>SUM(D52:D55)</f>
        <v/>
      </c>
    </row>
    <row r="58">
      <c r="A58" s="1" t="inlineStr">
        <is>
          <t>語りの視点（narration）</t>
        </is>
      </c>
    </row>
    <row r="59">
      <c r="A59" s="10" t="inlineStr">
        <is>
          <t>区分</t>
        </is>
      </c>
      <c r="B59" s="10" t="inlineStr">
        <is>
          <t>作品数</t>
        </is>
      </c>
      <c r="C59" s="10" t="inlineStr">
        <is>
          <t>構成比</t>
        </is>
      </c>
      <c r="D59" s="10" t="inlineStr">
        <is>
          <t>延べ語数</t>
        </is>
      </c>
      <c r="E59" s="10" t="inlineStr">
        <is>
          <t>語数構成比</t>
        </is>
      </c>
    </row>
    <row r="60">
      <c r="A60" s="11" t="inlineStr">
        <is>
          <t>first</t>
        </is>
      </c>
      <c r="B60" s="11">
        <f>COUNTIF(metadata_v2!$W$2:$W$65,A60)</f>
        <v/>
      </c>
      <c r="C60" s="12">
        <f>IF($B$65=0,0,B60/$B$65)</f>
        <v/>
      </c>
      <c r="D60" s="13">
        <f>SUMIF(metadata_v2!$W$2:$W$65,A60,metadata_v2!$AB$2:$AB$65)</f>
        <v/>
      </c>
      <c r="E60" s="12">
        <f>IF($D$65=0,0,D60/$D$65)</f>
        <v/>
      </c>
    </row>
    <row r="61">
      <c r="A61" s="11" t="inlineStr">
        <is>
          <t>third</t>
        </is>
      </c>
      <c r="B61" s="11">
        <f>COUNTIF(metadata_v2!$W$2:$W$65,A61)</f>
        <v/>
      </c>
      <c r="C61" s="12">
        <f>IF($B$65=0,0,B61/$B$65)</f>
        <v/>
      </c>
      <c r="D61" s="13">
        <f>SUMIF(metadata_v2!$W$2:$W$65,A61,metadata_v2!$AB$2:$AB$65)</f>
        <v/>
      </c>
      <c r="E61" s="12">
        <f>IF($D$65=0,0,D61/$D$65)</f>
        <v/>
      </c>
    </row>
    <row r="62">
      <c r="A62" s="11" t="inlineStr">
        <is>
          <t>mixed</t>
        </is>
      </c>
      <c r="B62" s="11">
        <f>COUNTIF(metadata_v2!$W$2:$W$65,A62)</f>
        <v/>
      </c>
      <c r="C62" s="12">
        <f>IF($B$65=0,0,B62/$B$65)</f>
        <v/>
      </c>
      <c r="D62" s="13">
        <f>SUMIF(metadata_v2!$W$2:$W$65,A62,metadata_v2!$AB$2:$AB$65)</f>
        <v/>
      </c>
      <c r="E62" s="12">
        <f>IF($D$65=0,0,D62/$D$65)</f>
        <v/>
      </c>
    </row>
    <row r="63">
      <c r="A63" s="11" t="inlineStr">
        <is>
          <t>dialogue</t>
        </is>
      </c>
      <c r="B63" s="11">
        <f>COUNTIF(metadata_v2!$W$2:$W$65,A63)</f>
        <v/>
      </c>
      <c r="C63" s="12">
        <f>IF($B$65=0,0,B63/$B$65)</f>
        <v/>
      </c>
      <c r="D63" s="13">
        <f>SUMIF(metadata_v2!$W$2:$W$65,A63,metadata_v2!$AB$2:$AB$65)</f>
        <v/>
      </c>
      <c r="E63" s="12">
        <f>IF($D$65=0,0,D63/$D$65)</f>
        <v/>
      </c>
    </row>
    <row r="64">
      <c r="A64" s="11" t="inlineStr">
        <is>
          <t>none</t>
        </is>
      </c>
      <c r="B64" s="11">
        <f>COUNTIF(metadata_v2!$W$2:$W$65,A64)</f>
        <v/>
      </c>
      <c r="C64" s="12">
        <f>IF($B$65=0,0,B64/$B$65)</f>
        <v/>
      </c>
      <c r="D64" s="13">
        <f>SUMIF(metadata_v2!$W$2:$W$65,A64,metadata_v2!$AB$2:$AB$65)</f>
        <v/>
      </c>
      <c r="E64" s="12">
        <f>IF($D$65=0,0,D64/$D$65)</f>
        <v/>
      </c>
    </row>
    <row r="65">
      <c r="A65" s="14" t="inlineStr">
        <is>
          <t>合計</t>
        </is>
      </c>
      <c r="B65" s="14">
        <f>SUM(B60:B64)</f>
        <v/>
      </c>
      <c r="D65" s="15">
        <f>SUM(D60:D64)</f>
        <v/>
      </c>
      <c r="G65" s="16" t="inlineStr">
        <is>
          <t>一人称28点／三人称30点でほぼ均衡しており，この軸に限れば偏りは小さい。</t>
        </is>
      </c>
    </row>
    <row r="67">
      <c r="A67" s="1" t="inlineStr">
        <is>
          <t>著者の性別（author_sex）</t>
        </is>
      </c>
    </row>
    <row r="68">
      <c r="A68" s="10" t="inlineStr">
        <is>
          <t>区分</t>
        </is>
      </c>
      <c r="B68" s="10" t="inlineStr">
        <is>
          <t>作品数</t>
        </is>
      </c>
      <c r="C68" s="10" t="inlineStr">
        <is>
          <t>構成比</t>
        </is>
      </c>
      <c r="D68" s="10" t="inlineStr">
        <is>
          <t>延べ語数</t>
        </is>
      </c>
      <c r="E68" s="10" t="inlineStr">
        <is>
          <t>語数構成比</t>
        </is>
      </c>
    </row>
    <row r="69">
      <c r="A69" s="11" t="inlineStr">
        <is>
          <t>F</t>
        </is>
      </c>
      <c r="B69" s="11">
        <f>COUNTIF(metadata_v2!$E$2:$E$65,A69)</f>
        <v/>
      </c>
      <c r="C69" s="12">
        <f>IF($B$71=0,0,B69/$B$71)</f>
        <v/>
      </c>
      <c r="D69" s="13">
        <f>SUMIF(metadata_v2!$E$2:$E$65,A69,metadata_v2!$AB$2:$AB$65)</f>
        <v/>
      </c>
      <c r="E69" s="12">
        <f>IF($D$71=0,0,D69/$D$71)</f>
        <v/>
      </c>
    </row>
    <row r="70">
      <c r="A70" s="11" t="inlineStr">
        <is>
          <t>M</t>
        </is>
      </c>
      <c r="B70" s="11">
        <f>COUNTIF(metadata_v2!$E$2:$E$65,A70)</f>
        <v/>
      </c>
      <c r="C70" s="12">
        <f>IF($B$71=0,0,B70/$B$71)</f>
        <v/>
      </c>
      <c r="D70" s="13">
        <f>SUMIF(metadata_v2!$E$2:$E$65,A70,metadata_v2!$AB$2:$AB$65)</f>
        <v/>
      </c>
      <c r="E70" s="12">
        <f>IF($D$71=0,0,D70/$D$71)</f>
        <v/>
      </c>
    </row>
    <row r="71">
      <c r="A71" s="14" t="inlineStr">
        <is>
          <t>合計</t>
        </is>
      </c>
      <c r="B71" s="14">
        <f>SUM(B69:B70)</f>
        <v/>
      </c>
      <c r="D71" s="15">
        <f>SUM(D69:D70)</f>
        <v/>
      </c>
      <c r="G71" s="16" t="inlineStr">
        <is>
          <t>女性作家は4名・11点（作品ベースで17%）。うち4点は宮本百合子1名に集中する。</t>
        </is>
      </c>
    </row>
    <row r="73">
      <c r="A73" s="1" t="inlineStr">
        <is>
          <t>初出媒体（first_medium）</t>
        </is>
      </c>
    </row>
    <row r="74">
      <c r="A74" s="10" t="inlineStr">
        <is>
          <t>区分</t>
        </is>
      </c>
      <c r="B74" s="10" t="inlineStr">
        <is>
          <t>作品数</t>
        </is>
      </c>
      <c r="C74" s="10" t="inlineStr">
        <is>
          <t>構成比</t>
        </is>
      </c>
      <c r="D74" s="10" t="inlineStr">
        <is>
          <t>延べ語数</t>
        </is>
      </c>
      <c r="E74" s="10" t="inlineStr">
        <is>
          <t>語数構成比</t>
        </is>
      </c>
    </row>
    <row r="75">
      <c r="A75" s="11" t="inlineStr">
        <is>
          <t>newspaper</t>
        </is>
      </c>
      <c r="B75" s="11">
        <f>COUNTIF(metadata_v2!$X$2:$X$65,A75)</f>
        <v/>
      </c>
      <c r="C75" s="12">
        <f>IF($B$78=0,0,B75/$B$78)</f>
        <v/>
      </c>
      <c r="D75" s="13">
        <f>SUMIF(metadata_v2!$X$2:$X$65,A75,metadata_v2!$AB$2:$AB$65)</f>
        <v/>
      </c>
      <c r="E75" s="12">
        <f>IF($D$78=0,0,D75/$D$78)</f>
        <v/>
      </c>
    </row>
    <row r="76">
      <c r="A76" s="11" t="inlineStr">
        <is>
          <t>magazine</t>
        </is>
      </c>
      <c r="B76" s="11">
        <f>COUNTIF(metadata_v2!$X$2:$X$65,A76)</f>
        <v/>
      </c>
      <c r="C76" s="12">
        <f>IF($B$78=0,0,B76/$B$78)</f>
        <v/>
      </c>
      <c r="D76" s="13">
        <f>SUMIF(metadata_v2!$X$2:$X$65,A76,metadata_v2!$AB$2:$AB$65)</f>
        <v/>
      </c>
      <c r="E76" s="12">
        <f>IF($D$78=0,0,D76/$D$78)</f>
        <v/>
      </c>
    </row>
    <row r="77">
      <c r="A77" s="11" t="inlineStr">
        <is>
          <t>book</t>
        </is>
      </c>
      <c r="B77" s="11">
        <f>COUNTIF(metadata_v2!$X$2:$X$65,A77)</f>
        <v/>
      </c>
      <c r="C77" s="12">
        <f>IF($B$78=0,0,B77/$B$78)</f>
        <v/>
      </c>
      <c r="D77" s="13">
        <f>SUMIF(metadata_v2!$X$2:$X$65,A77,metadata_v2!$AB$2:$AB$65)</f>
        <v/>
      </c>
      <c r="E77" s="12">
        <f>IF($D$78=0,0,D77/$D$78)</f>
        <v/>
      </c>
    </row>
    <row r="78">
      <c r="A78" s="14" t="inlineStr">
        <is>
          <t>合計</t>
        </is>
      </c>
      <c r="B78" s="14">
        <f>SUM(B75:B77)</f>
        <v/>
      </c>
      <c r="D78" s="15">
        <f>SUM(D75:D77)</f>
        <v/>
      </c>
    </row>
    <row r="80">
      <c r="A80" s="1" t="inlineStr">
        <is>
          <t>完全性（completeness）</t>
        </is>
      </c>
    </row>
    <row r="81">
      <c r="A81" s="10" t="inlineStr">
        <is>
          <t>区分</t>
        </is>
      </c>
      <c r="B81" s="10" t="inlineStr">
        <is>
          <t>作品数</t>
        </is>
      </c>
      <c r="C81" s="10" t="inlineStr">
        <is>
          <t>構成比</t>
        </is>
      </c>
      <c r="D81" s="10" t="inlineStr">
        <is>
          <t>延べ語数</t>
        </is>
      </c>
      <c r="E81" s="10" t="inlineStr">
        <is>
          <t>語数構成比</t>
        </is>
      </c>
    </row>
    <row r="82">
      <c r="A82" s="11" t="inlineStr">
        <is>
          <t>complete</t>
        </is>
      </c>
      <c r="B82" s="11">
        <f>COUNTIF(metadata_v2!$Z$2:$Z$65,A82)</f>
        <v/>
      </c>
      <c r="C82" s="12">
        <f>IF($B$87=0,0,B82/$B$87)</f>
        <v/>
      </c>
      <c r="D82" s="13">
        <f>SUMIF(metadata_v2!$Z$2:$Z$65,A82,metadata_v2!$AB$2:$AB$65)</f>
        <v/>
      </c>
      <c r="E82" s="12">
        <f>IF($D$87=0,0,D82/$D$87)</f>
        <v/>
      </c>
    </row>
    <row r="83">
      <c r="A83" s="11" t="inlineStr">
        <is>
          <t>incomplete</t>
        </is>
      </c>
      <c r="B83" s="11">
        <f>COUNTIF(metadata_v2!$Z$2:$Z$65,A83)</f>
        <v/>
      </c>
      <c r="C83" s="12">
        <f>IF($B$87=0,0,B83/$B$87)</f>
        <v/>
      </c>
      <c r="D83" s="13">
        <f>SUMIF(metadata_v2!$Z$2:$Z$65,A83,metadata_v2!$AB$2:$AB$65)</f>
        <v/>
      </c>
      <c r="E83" s="12">
        <f>IF($D$87=0,0,D83/$D$87)</f>
        <v/>
      </c>
    </row>
    <row r="84">
      <c r="A84" s="11" t="inlineStr">
        <is>
          <t>PARTIAL</t>
        </is>
      </c>
      <c r="B84" s="11">
        <f>COUNTIF(metadata_v2!$Z$2:$Z$65,A84)</f>
        <v/>
      </c>
      <c r="C84" s="12">
        <f>IF($B$87=0,0,B84/$B$87)</f>
        <v/>
      </c>
      <c r="D84" s="13">
        <f>SUMIF(metadata_v2!$Z$2:$Z$65,A84,metadata_v2!$AB$2:$AB$65)</f>
        <v/>
      </c>
      <c r="E84" s="12">
        <f>IF($D$87=0,0,D84/$D$87)</f>
        <v/>
      </c>
    </row>
    <row r="85">
      <c r="A85" s="11" t="inlineStr">
        <is>
          <t>revised</t>
        </is>
      </c>
      <c r="B85" s="11">
        <f>COUNTIF(metadata_v2!$Z$2:$Z$65,A85)</f>
        <v/>
      </c>
      <c r="C85" s="12">
        <f>IF($B$87=0,0,B85/$B$87)</f>
        <v/>
      </c>
      <c r="D85" s="13">
        <f>SUMIF(metadata_v2!$Z$2:$Z$65,A85,metadata_v2!$AB$2:$AB$65)</f>
        <v/>
      </c>
      <c r="E85" s="12">
        <f>IF($D$87=0,0,D85/$D$87)</f>
        <v/>
      </c>
    </row>
    <row r="86">
      <c r="A86" s="11" t="inlineStr">
        <is>
          <t>DUPLICATE</t>
        </is>
      </c>
      <c r="B86" s="11">
        <f>COUNTIF(metadata_v2!$Z$2:$Z$65,A86)</f>
        <v/>
      </c>
      <c r="C86" s="12">
        <f>IF($B$87=0,0,B86/$B$87)</f>
        <v/>
      </c>
      <c r="D86" s="13">
        <f>SUMIF(metadata_v2!$Z$2:$Z$65,A86,metadata_v2!$AB$2:$AB$65)</f>
        <v/>
      </c>
      <c r="E86" s="12">
        <f>IF($D$87=0,0,D86/$D$87)</f>
        <v/>
      </c>
    </row>
    <row r="87">
      <c r="A87" s="14" t="inlineStr">
        <is>
          <t>合計</t>
        </is>
      </c>
      <c r="B87" s="14">
        <f>SUM(B82:B86)</f>
        <v/>
      </c>
      <c r="D87" s="15">
        <f>SUM(D82:D86)</f>
        <v/>
      </c>
    </row>
    <row r="89">
      <c r="A89" s="1" t="inlineStr">
        <is>
          <t>著者別（作品数の多い順）</t>
        </is>
      </c>
    </row>
    <row r="90">
      <c r="A90" s="10" t="inlineStr">
        <is>
          <t>著者</t>
        </is>
      </c>
      <c r="B90" s="10" t="inlineStr">
        <is>
          <t>作品数</t>
        </is>
      </c>
      <c r="C90" s="10" t="inlineStr">
        <is>
          <t>延べ語数</t>
        </is>
      </c>
    </row>
    <row r="91">
      <c r="A91" s="11" t="inlineStr">
        <is>
          <t>坂口安吾</t>
        </is>
      </c>
      <c r="B91" s="11">
        <f>COUNTIF(metadata_v2!$C$2:$C$65,A91)</f>
        <v/>
      </c>
      <c r="C91" s="13">
        <f>SUMIF(metadata_v2!$C$2:$C$65,A91,metadata_v2!$AB$2:$AB$65)</f>
        <v/>
      </c>
    </row>
    <row r="92">
      <c r="A92" s="11" t="inlineStr">
        <is>
          <t>岡本綺堂</t>
        </is>
      </c>
      <c r="B92" s="11">
        <f>COUNTIF(metadata_v2!$C$2:$C$65,A92)</f>
        <v/>
      </c>
      <c r="C92" s="13">
        <f>SUMIF(metadata_v2!$C$2:$C$65,A92,metadata_v2!$AB$2:$AB$65)</f>
        <v/>
      </c>
    </row>
    <row r="93">
      <c r="A93" s="11" t="inlineStr">
        <is>
          <t>島崎藤村</t>
        </is>
      </c>
      <c r="B93" s="11">
        <f>COUNTIF(metadata_v2!$C$2:$C$65,A93)</f>
        <v/>
      </c>
      <c r="C93" s="13">
        <f>SUMIF(metadata_v2!$C$2:$C$65,A93,metadata_v2!$AB$2:$AB$65)</f>
        <v/>
      </c>
    </row>
    <row r="94">
      <c r="A94" s="11" t="inlineStr">
        <is>
          <t>森鴎外</t>
        </is>
      </c>
      <c r="B94" s="11">
        <f>COUNTIF(metadata_v2!$C$2:$C$65,A94)</f>
        <v/>
      </c>
      <c r="C94" s="13">
        <f>SUMIF(metadata_v2!$C$2:$C$65,A94,metadata_v2!$AB$2:$AB$65)</f>
        <v/>
      </c>
    </row>
    <row r="95">
      <c r="A95" s="11" t="inlineStr">
        <is>
          <t>海野十三</t>
        </is>
      </c>
      <c r="B95" s="11">
        <f>COUNTIF(metadata_v2!$C$2:$C$65,A95)</f>
        <v/>
      </c>
      <c r="C95" s="13">
        <f>SUMIF(metadata_v2!$C$2:$C$65,A95,metadata_v2!$AB$2:$AB$65)</f>
        <v/>
      </c>
    </row>
    <row r="96">
      <c r="A96" s="11" t="inlineStr">
        <is>
          <t>夏目漱石</t>
        </is>
      </c>
      <c r="B96" s="11">
        <f>COUNTIF(metadata_v2!$C$2:$C$65,A96)</f>
        <v/>
      </c>
      <c r="C96" s="13">
        <f>SUMIF(metadata_v2!$C$2:$C$65,A96,metadata_v2!$AB$2:$AB$65)</f>
        <v/>
      </c>
    </row>
    <row r="97">
      <c r="A97" s="11" t="inlineStr">
        <is>
          <t>宮本百合子</t>
        </is>
      </c>
      <c r="B97" s="11">
        <f>COUNTIF(metadata_v2!$C$2:$C$65,A97)</f>
        <v/>
      </c>
      <c r="C97" s="13">
        <f>SUMIF(metadata_v2!$C$2:$C$65,A97,metadata_v2!$AB$2:$AB$65)</f>
        <v/>
      </c>
    </row>
    <row r="98">
      <c r="A98" s="11" t="inlineStr">
        <is>
          <t>小林多喜二</t>
        </is>
      </c>
      <c r="B98" s="11">
        <f>COUNTIF(metadata_v2!$C$2:$C$65,A98)</f>
        <v/>
      </c>
      <c r="C98" s="13">
        <f>SUMIF(metadata_v2!$C$2:$C$65,A98,metadata_v2!$AB$2:$AB$65)</f>
        <v/>
      </c>
    </row>
    <row r="99">
      <c r="A99" s="11" t="inlineStr">
        <is>
          <t>江戸川乱歩</t>
        </is>
      </c>
      <c r="B99" s="11">
        <f>COUNTIF(metadata_v2!$C$2:$C$65,A99)</f>
        <v/>
      </c>
      <c r="C99" s="13">
        <f>SUMIF(metadata_v2!$C$2:$C$65,A99,metadata_v2!$AB$2:$AB$65)</f>
        <v/>
      </c>
    </row>
    <row r="100">
      <c r="A100" s="11" t="inlineStr">
        <is>
          <t>夢野久作</t>
        </is>
      </c>
      <c r="B100" s="11">
        <f>COUNTIF(metadata_v2!$C$2:$C$65,A100)</f>
        <v/>
      </c>
      <c r="C100" s="13">
        <f>SUMIF(metadata_v2!$C$2:$C$65,A100,metadata_v2!$AB$2:$AB$65)</f>
        <v/>
      </c>
    </row>
    <row r="101">
      <c r="A101" s="11" t="inlineStr">
        <is>
          <t>小栗虫太郎</t>
        </is>
      </c>
      <c r="B101" s="11">
        <f>COUNTIF(metadata_v2!$C$2:$C$65,A101)</f>
        <v/>
      </c>
      <c r="C101" s="13">
        <f>SUMIF(metadata_v2!$C$2:$C$65,A101,metadata_v2!$AB$2:$AB$65)</f>
        <v/>
      </c>
    </row>
    <row r="102">
      <c r="A102" s="11" t="inlineStr">
        <is>
          <t>岡本かの子</t>
        </is>
      </c>
      <c r="B102" s="11">
        <f>COUNTIF(metadata_v2!$C$2:$C$65,A102)</f>
        <v/>
      </c>
      <c r="C102" s="13">
        <f>SUMIF(metadata_v2!$C$2:$C$65,A102,metadata_v2!$AB$2:$AB$65)</f>
        <v/>
      </c>
    </row>
    <row r="103">
      <c r="A103" s="11" t="inlineStr">
        <is>
          <t>壺井栄</t>
        </is>
      </c>
      <c r="B103" s="11">
        <f>COUNTIF(metadata_v2!$C$2:$C$65,A103)</f>
        <v/>
      </c>
      <c r="C103" s="13">
        <f>SUMIF(metadata_v2!$C$2:$C$65,A103,metadata_v2!$AB$2:$AB$65)</f>
        <v/>
      </c>
    </row>
    <row r="104">
      <c r="A104" s="11" t="inlineStr">
        <is>
          <t>太宰治</t>
        </is>
      </c>
      <c r="B104" s="11">
        <f>COUNTIF(metadata_v2!$C$2:$C$65,A104)</f>
        <v/>
      </c>
      <c r="C104" s="13">
        <f>SUMIF(metadata_v2!$C$2:$C$65,A104,metadata_v2!$AB$2:$AB$65)</f>
        <v/>
      </c>
    </row>
    <row r="105">
      <c r="A105" s="11" t="inlineStr">
        <is>
          <t>林芙美子</t>
        </is>
      </c>
      <c r="B105" s="11">
        <f>COUNTIF(metadata_v2!$C$2:$C$65,A105)</f>
        <v/>
      </c>
      <c r="C105" s="13">
        <f>SUMIF(metadata_v2!$C$2:$C$65,A105,metadata_v2!$AB$2:$AB$65)</f>
        <v/>
      </c>
    </row>
    <row r="106">
      <c r="A106" s="11" t="inlineStr">
        <is>
          <t>福沢諭吉</t>
        </is>
      </c>
      <c r="B106" s="11">
        <f>COUNTIF(metadata_v2!$C$2:$C$65,A106)</f>
        <v/>
      </c>
      <c r="C106" s="13">
        <f>SUMIF(metadata_v2!$C$2:$C$65,A106,metadata_v2!$AB$2:$AB$65)</f>
        <v/>
      </c>
    </row>
    <row r="107">
      <c r="A107" s="11" t="inlineStr">
        <is>
          <t>芥川竜之介</t>
        </is>
      </c>
      <c r="B107" s="11">
        <f>COUNTIF(metadata_v2!$C$2:$C$65,A107)</f>
        <v/>
      </c>
      <c r="C107" s="13">
        <f>SUMIF(metadata_v2!$C$2:$C$65,A107,metadata_v2!$AB$2:$AB$65)</f>
        <v/>
      </c>
    </row>
    <row r="108">
      <c r="A108" s="11" t="inlineStr">
        <is>
          <t>中島敦</t>
        </is>
      </c>
      <c r="B108" s="11">
        <f>COUNTIF(metadata_v2!$C$2:$C$65,A108)</f>
        <v/>
      </c>
      <c r="C108" s="13">
        <f>SUMIF(metadata_v2!$C$2:$C$65,A108,metadata_v2!$AB$2:$AB$65)</f>
        <v/>
      </c>
    </row>
    <row r="109">
      <c r="A109" s="11" t="inlineStr">
        <is>
          <t>室生犀星</t>
        </is>
      </c>
      <c r="B109" s="11">
        <f>COUNTIF(metadata_v2!$C$2:$C$65,A109)</f>
        <v/>
      </c>
      <c r="C109" s="13">
        <f>SUMIF(metadata_v2!$C$2:$C$65,A109,metadata_v2!$AB$2:$AB$65)</f>
        <v/>
      </c>
    </row>
    <row r="110">
      <c r="A110" s="11" t="inlineStr">
        <is>
          <t>徳冨蘆花</t>
        </is>
      </c>
      <c r="B110" s="11">
        <f>COUNTIF(metadata_v2!$C$2:$C$65,A110)</f>
        <v/>
      </c>
      <c r="C110" s="13">
        <f>SUMIF(metadata_v2!$C$2:$C$65,A110,metadata_v2!$AB$2:$AB$65)</f>
        <v/>
      </c>
    </row>
    <row r="111">
      <c r="A111" s="11" t="inlineStr">
        <is>
          <t>石川啄木</t>
        </is>
      </c>
      <c r="B111" s="11">
        <f>COUNTIF(metadata_v2!$C$2:$C$65,A111)</f>
        <v/>
      </c>
      <c r="C111" s="13">
        <f>SUMIF(metadata_v2!$C$2:$C$65,A111,metadata_v2!$AB$2:$AB$65)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2" customWidth="1" min="1" max="1"/>
    <col width="8" customWidth="1" min="2" max="2"/>
    <col width="13.5" customWidth="1" min="3" max="3"/>
    <col width="13.5" customWidth="1" min="4" max="4"/>
    <col width="14.65" customWidth="1" min="5" max="5"/>
    <col width="21.55" customWidth="1" min="6" max="6"/>
    <col width="13.5" customWidth="1" min="7" max="7"/>
    <col width="13.5" customWidth="1" min="8" max="8"/>
    <col width="27.3" customWidth="1" min="9" max="9"/>
    <col width="15.8" customWidth="1" min="10" max="10"/>
    <col width="13.5" customWidth="1" min="11" max="11"/>
    <col width="48" customWidth="1" min="12" max="12"/>
    <col width="16.95" customWidth="1" min="13" max="13"/>
    <col width="18.1" customWidth="1" min="14" max="14"/>
    <col width="48" customWidth="1" min="15" max="15"/>
    <col width="70" customWidth="1" min="16" max="16"/>
  </cols>
  <sheetData>
    <row r="1" ht="30" customHeight="1">
      <c r="A1" s="3" t="inlineStr">
        <is>
          <t>priority</t>
        </is>
      </c>
      <c r="B1" s="3" t="inlineStr">
        <is>
          <t>gap</t>
        </is>
      </c>
      <c r="C1" s="3" t="inlineStr">
        <is>
          <t>author_ja</t>
        </is>
      </c>
      <c r="D1" s="3" t="inlineStr">
        <is>
          <t>title</t>
        </is>
      </c>
      <c r="E1" s="3" t="inlineStr">
        <is>
          <t>year_target</t>
        </is>
      </c>
      <c r="F1" s="3" t="inlineStr">
        <is>
          <t>period_target</t>
        </is>
      </c>
      <c r="G1" s="3" t="inlineStr">
        <is>
          <t>ndc_expect</t>
        </is>
      </c>
      <c r="H1" s="3" t="inlineStr">
        <is>
          <t>genre_main</t>
        </is>
      </c>
      <c r="I1" s="3" t="inlineStr">
        <is>
          <t>genre_sub</t>
        </is>
      </c>
      <c r="J1" s="3" t="inlineStr">
        <is>
          <t>style_expect</t>
        </is>
      </c>
      <c r="K1" s="3" t="inlineStr">
        <is>
          <t>author_sex</t>
        </is>
      </c>
      <c r="L1" s="3" t="inlineStr">
        <is>
          <t>rationale</t>
        </is>
      </c>
      <c r="M1" s="3" t="inlineStr">
        <is>
          <t>aozora_status</t>
        </is>
      </c>
      <c r="N1" s="3" t="inlineStr">
        <is>
          <t>aozora_work_id</t>
        </is>
      </c>
      <c r="O1" s="3" t="inlineStr">
        <is>
          <t>resolution_note</t>
        </is>
      </c>
      <c r="P1" s="3" t="inlineStr">
        <is>
          <t>in_corpus</t>
        </is>
      </c>
    </row>
    <row r="2">
      <c r="A2" s="4" t="n">
        <v>1</v>
      </c>
      <c r="B2" s="4" t="inlineStr">
        <is>
          <t>明治前期</t>
        </is>
      </c>
      <c r="C2" s="4" t="inlineStr">
        <is>
          <t>ツルゲーネフ イワン</t>
        </is>
      </c>
      <c r="D2" s="4" t="inlineStr">
        <is>
          <t>あいびき</t>
        </is>
      </c>
      <c r="E2" s="4" t="n">
        <v>1888</v>
      </c>
      <c r="F2" s="4" t="inlineStr">
        <is>
          <t>2_明治中期(1887-1899)</t>
        </is>
      </c>
      <c r="G2" s="4" t="inlineStr">
        <is>
          <t>983</t>
        </is>
      </c>
      <c r="H2" s="4" t="inlineStr">
        <is>
          <t>Fiction</t>
        </is>
      </c>
      <c r="I2" s="4" t="inlineStr">
        <is>
          <t>Translation</t>
        </is>
      </c>
      <c r="J2" s="4" t="inlineStr">
        <is>
          <t>過渡</t>
        </is>
      </c>
      <c r="K2" s="4" t="inlineStr">
        <is>
          <t>M</t>
        </is>
      </c>
      <c r="L2" s="4" t="inlineStr">
        <is>
          <t>二葉亭四迷訳。言文一致の文体実験。青空文庫では原著者の下に登録される</t>
        </is>
      </c>
      <c r="M2" s="4" t="inlineStr">
        <is>
          <t>公開中</t>
        </is>
      </c>
      <c r="N2" s="4" t="inlineStr">
        <is>
          <t>5</t>
        </is>
      </c>
      <c r="O2" s="4" t="inlineStr">
        <is>
          <t>著者名はツルゲーネフ イワン。訳者を note に記す</t>
        </is>
      </c>
      <c r="P2" s="7" t="inlineStr">
        <is>
          <t>収録済</t>
        </is>
      </c>
    </row>
    <row r="3">
      <c r="A3" s="4" t="n">
        <v>1</v>
      </c>
      <c r="B3" s="4" t="inlineStr">
        <is>
          <t>明治前期</t>
        </is>
      </c>
      <c r="C3" s="4" t="inlineStr">
        <is>
          <t>二葉亭四迷</t>
        </is>
      </c>
      <c r="D3" s="4" t="inlineStr">
        <is>
          <t>浮雲</t>
        </is>
      </c>
      <c r="E3" s="4" t="n">
        <v>1887</v>
      </c>
      <c r="F3" s="4" t="inlineStr">
        <is>
          <t>2_明治中期(1887-1899)</t>
        </is>
      </c>
      <c r="G3" s="4" t="inlineStr">
        <is>
          <t>913</t>
        </is>
      </c>
      <c r="H3" s="4" t="inlineStr">
        <is>
          <t>Fiction</t>
        </is>
      </c>
      <c r="I3" s="4" t="inlineStr">
        <is>
          <t>Modern</t>
        </is>
      </c>
      <c r="J3" s="4" t="inlineStr">
        <is>
          <t>過渡</t>
        </is>
      </c>
      <c r="K3" s="4" t="inlineStr">
        <is>
          <t>M</t>
        </is>
      </c>
      <c r="L3" s="4" t="inlineStr">
        <is>
          <t>言文一致体小説の出発点。コーパスの最重要欠落</t>
        </is>
      </c>
      <c r="M3" s="4" t="inlineStr">
        <is>
          <t>公開中</t>
        </is>
      </c>
      <c r="N3" s="4" t="inlineStr"/>
      <c r="O3" s="4" t="inlineStr">
        <is>
          <t>—</t>
        </is>
      </c>
      <c r="P3" s="7" t="inlineStr">
        <is>
          <t>収録済</t>
        </is>
      </c>
    </row>
    <row r="4">
      <c r="A4" s="4" t="n">
        <v>1</v>
      </c>
      <c r="B4" s="4" t="inlineStr">
        <is>
          <t>明治前期</t>
        </is>
      </c>
      <c r="C4" s="4" t="inlineStr">
        <is>
          <t>尾崎紅葉</t>
        </is>
      </c>
      <c r="D4" s="4" t="inlineStr">
        <is>
          <t>金色夜叉</t>
        </is>
      </c>
      <c r="E4" s="4" t="n">
        <v>1897</v>
      </c>
      <c r="F4" s="4" t="inlineStr">
        <is>
          <t>2_明治中期(1887-1899)</t>
        </is>
      </c>
      <c r="G4" s="4" t="inlineStr">
        <is>
          <t>913</t>
        </is>
      </c>
      <c r="H4" s="4" t="inlineStr">
        <is>
          <t>Fiction</t>
        </is>
      </c>
      <c r="I4" s="4" t="inlineStr">
        <is>
          <t>Melodrama</t>
        </is>
      </c>
      <c r="J4" s="4" t="inlineStr">
        <is>
          <t>過渡</t>
        </is>
      </c>
      <c r="K4" s="4" t="inlineStr">
        <is>
          <t>M</t>
        </is>
      </c>
      <c r="L4" s="4" t="inlineStr">
        <is>
          <t>硯友社の雅俗折衷体と新聞小説の大衆性</t>
        </is>
      </c>
      <c r="M4" s="4" t="inlineStr">
        <is>
          <t>公開中</t>
        </is>
      </c>
      <c r="N4" s="4" t="inlineStr"/>
      <c r="O4" s="4" t="inlineStr">
        <is>
          <t>—</t>
        </is>
      </c>
      <c r="P4" s="7" t="inlineStr">
        <is>
          <t>収録済</t>
        </is>
      </c>
    </row>
    <row r="5">
      <c r="A5" s="4" t="n">
        <v>1</v>
      </c>
      <c r="B5" s="4" t="inlineStr">
        <is>
          <t>明治前期</t>
        </is>
      </c>
      <c r="C5" s="4" t="inlineStr">
        <is>
          <t>山田美妙</t>
        </is>
      </c>
      <c r="D5" s="4" t="inlineStr">
        <is>
          <t>武蔵野</t>
        </is>
      </c>
      <c r="E5" s="4" t="n">
        <v>1887</v>
      </c>
      <c r="F5" s="4" t="inlineStr">
        <is>
          <t>2_明治中期(1887-1899)</t>
        </is>
      </c>
      <c r="G5" s="4" t="inlineStr">
        <is>
          <t>913</t>
        </is>
      </c>
      <c r="H5" s="4" t="inlineStr">
        <is>
          <t>Fiction</t>
        </is>
      </c>
      <c r="I5" s="4" t="inlineStr">
        <is>
          <t>Historical</t>
        </is>
      </c>
      <c r="J5" s="4" t="inlineStr">
        <is>
          <t>過渡</t>
        </is>
      </c>
      <c r="K5" s="4" t="inlineStr">
        <is>
          <t>M</t>
        </is>
      </c>
      <c r="L5" s="4" t="inlineStr">
        <is>
          <t>「です・ます」体による言文一致の別系統</t>
        </is>
      </c>
      <c r="M5" s="4" t="inlineStr">
        <is>
          <t>公開中</t>
        </is>
      </c>
      <c r="N5" s="4" t="inlineStr"/>
      <c r="O5" s="4" t="inlineStr">
        <is>
          <t>—</t>
        </is>
      </c>
      <c r="P5" s="7" t="inlineStr">
        <is>
          <t>収録済</t>
        </is>
      </c>
    </row>
    <row r="6">
      <c r="A6" s="4" t="n">
        <v>1</v>
      </c>
      <c r="B6" s="4" t="inlineStr">
        <is>
          <t>明治前期</t>
        </is>
      </c>
      <c r="C6" s="4" t="inlineStr">
        <is>
          <t>幸田露伴</t>
        </is>
      </c>
      <c r="D6" s="4" t="inlineStr">
        <is>
          <t>五重塔</t>
        </is>
      </c>
      <c r="E6" s="4" t="n">
        <v>1891</v>
      </c>
      <c r="F6" s="4" t="inlineStr">
        <is>
          <t>2_明治中期(1887-1899)</t>
        </is>
      </c>
      <c r="G6" s="4" t="inlineStr">
        <is>
          <t>913</t>
        </is>
      </c>
      <c r="H6" s="4" t="inlineStr">
        <is>
          <t>Fiction</t>
        </is>
      </c>
      <c r="I6" s="4" t="inlineStr">
        <is>
          <t>Modern</t>
        </is>
      </c>
      <c r="J6" s="4" t="inlineStr">
        <is>
          <t>文語</t>
        </is>
      </c>
      <c r="K6" s="4" t="inlineStr">
        <is>
          <t>M</t>
        </is>
      </c>
      <c r="L6" s="4" t="inlineStr">
        <is>
          <t>雅俗折衷体。言文一致に抗した側の代表</t>
        </is>
      </c>
      <c r="M6" s="4" t="inlineStr">
        <is>
          <t>公開中</t>
        </is>
      </c>
      <c r="N6" s="4" t="inlineStr"/>
      <c r="O6" s="4" t="inlineStr">
        <is>
          <t>—</t>
        </is>
      </c>
      <c r="P6" s="7" t="inlineStr">
        <is>
          <t>収録済</t>
        </is>
      </c>
    </row>
    <row r="7">
      <c r="A7" s="4" t="n">
        <v>1</v>
      </c>
      <c r="B7" s="4" t="inlineStr">
        <is>
          <t>明治前期</t>
        </is>
      </c>
      <c r="C7" s="4" t="inlineStr">
        <is>
          <t>徳冨蘆花</t>
        </is>
      </c>
      <c r="D7" s="4" t="inlineStr">
        <is>
          <t>良夜</t>
        </is>
      </c>
      <c r="E7" s="4" t="n">
        <v>1900</v>
      </c>
      <c r="F7" s="4" t="inlineStr">
        <is>
          <t>3_明治後期(1900-1911)</t>
        </is>
      </c>
      <c r="G7" s="4" t="inlineStr">
        <is>
          <t>914</t>
        </is>
      </c>
      <c r="H7" s="4" t="inlineStr">
        <is>
          <t>Nonfiction</t>
        </is>
      </c>
      <c r="I7" s="4" t="inlineStr">
        <is>
          <t>Sketch-Essay</t>
        </is>
      </c>
      <c r="J7" s="4" t="inlineStr">
        <is>
          <t>過渡</t>
        </is>
      </c>
      <c r="K7" s="4" t="inlineStr">
        <is>
          <t>M</t>
        </is>
      </c>
      <c r="L7" s="4" t="inlineStr">
        <is>
          <t>『自然と人生』所収の写生文。同書本体は未公開のため所収作で代替</t>
        </is>
      </c>
      <c r="M7" s="4" t="inlineStr">
        <is>
          <t>公開中</t>
        </is>
      </c>
      <c r="N7" s="4" t="inlineStr">
        <is>
          <t>46536</t>
        </is>
      </c>
      <c r="O7" s="4" t="inlineStr">
        <is>
          <t>—</t>
        </is>
      </c>
      <c r="P7" s="7" t="inlineStr">
        <is>
          <t>収録済</t>
        </is>
      </c>
    </row>
    <row r="8">
      <c r="A8" s="4" t="n">
        <v>1</v>
      </c>
      <c r="B8" s="4" t="inlineStr">
        <is>
          <t>明治前期</t>
        </is>
      </c>
      <c r="C8" s="4" t="inlineStr">
        <is>
          <t>徳冨蘆花</t>
        </is>
      </c>
      <c r="D8" s="4" t="inlineStr">
        <is>
          <t>花月の夜</t>
        </is>
      </c>
      <c r="E8" s="4" t="n">
        <v>1900</v>
      </c>
      <c r="F8" s="4" t="inlineStr">
        <is>
          <t>3_明治後期(1900-1911)</t>
        </is>
      </c>
      <c r="G8" s="4" t="inlineStr">
        <is>
          <t>914</t>
        </is>
      </c>
      <c r="H8" s="4" t="inlineStr">
        <is>
          <t>Nonfiction</t>
        </is>
      </c>
      <c r="I8" s="4" t="inlineStr">
        <is>
          <t>Sketch-Essay</t>
        </is>
      </c>
      <c r="J8" s="4" t="inlineStr">
        <is>
          <t>過渡</t>
        </is>
      </c>
      <c r="K8" s="4" t="inlineStr">
        <is>
          <t>M</t>
        </is>
      </c>
      <c r="L8" s="4" t="inlineStr">
        <is>
          <t>同上</t>
        </is>
      </c>
      <c r="M8" s="4" t="inlineStr">
        <is>
          <t>公開中</t>
        </is>
      </c>
      <c r="N8" s="4" t="inlineStr">
        <is>
          <t>46537</t>
        </is>
      </c>
      <c r="O8" s="4" t="inlineStr">
        <is>
          <t>—</t>
        </is>
      </c>
      <c r="P8" s="7" t="inlineStr">
        <is>
          <t>収録済</t>
        </is>
      </c>
    </row>
    <row r="9">
      <c r="A9" s="4" t="n">
        <v>1</v>
      </c>
      <c r="B9" s="4" t="inlineStr">
        <is>
          <t>明治前期</t>
        </is>
      </c>
      <c r="C9" s="4" t="inlineStr">
        <is>
          <t>森鴎外</t>
        </is>
      </c>
      <c r="D9" s="4" t="inlineStr">
        <is>
          <t>舞姫</t>
        </is>
      </c>
      <c r="E9" s="4" t="n">
        <v>1890</v>
      </c>
      <c r="F9" s="4" t="inlineStr">
        <is>
          <t>2_明治中期(1887-1899)</t>
        </is>
      </c>
      <c r="G9" s="4" t="inlineStr">
        <is>
          <t>913</t>
        </is>
      </c>
      <c r="H9" s="4" t="inlineStr">
        <is>
          <t>Fiction</t>
        </is>
      </c>
      <c r="I9" s="4" t="inlineStr">
        <is>
          <t>Modern</t>
        </is>
      </c>
      <c r="J9" s="4" t="inlineStr">
        <is>
          <t>文語</t>
        </is>
      </c>
      <c r="K9" s="4" t="inlineStr">
        <is>
          <t>M</t>
        </is>
      </c>
      <c r="L9" s="4" t="inlineStr">
        <is>
          <t>雅文体。鴎外の文語作品を系列に加える</t>
        </is>
      </c>
      <c r="M9" s="4" t="inlineStr">
        <is>
          <t>公開中</t>
        </is>
      </c>
      <c r="N9" s="4" t="inlineStr"/>
      <c r="O9" s="4" t="inlineStr">
        <is>
          <t>—</t>
        </is>
      </c>
      <c r="P9" s="7" t="inlineStr">
        <is>
          <t>収録済</t>
        </is>
      </c>
    </row>
    <row r="10">
      <c r="A10" s="4" t="n">
        <v>1</v>
      </c>
      <c r="B10" s="4" t="inlineStr">
        <is>
          <t>明治前期</t>
        </is>
      </c>
      <c r="C10" s="4" t="inlineStr">
        <is>
          <t>正岡子規</t>
        </is>
      </c>
      <c r="D10" s="4" t="inlineStr">
        <is>
          <t>歌よみに与ふる書</t>
        </is>
      </c>
      <c r="E10" s="4" t="n">
        <v>1898</v>
      </c>
      <c r="F10" s="4" t="inlineStr">
        <is>
          <t>2_明治中期(1887-1899)</t>
        </is>
      </c>
      <c r="G10" s="4" t="inlineStr">
        <is>
          <t>911</t>
        </is>
      </c>
      <c r="H10" s="4" t="inlineStr">
        <is>
          <t>Nonfiction</t>
        </is>
      </c>
      <c r="I10" s="4" t="inlineStr">
        <is>
          <t>Criticism</t>
        </is>
      </c>
      <c r="J10" s="4" t="inlineStr">
        <is>
          <t>文語</t>
        </is>
      </c>
      <c r="K10" s="4" t="inlineStr">
        <is>
          <t>M</t>
        </is>
      </c>
      <c r="L10" s="4" t="inlineStr">
        <is>
          <t>明治期批評文の文語体標本</t>
        </is>
      </c>
      <c r="M10" s="4" t="inlineStr">
        <is>
          <t>公開中</t>
        </is>
      </c>
      <c r="N10" s="4" t="inlineStr"/>
      <c r="O10" s="4" t="inlineStr">
        <is>
          <t>—</t>
        </is>
      </c>
      <c r="P10" s="7" t="inlineStr">
        <is>
          <t>収録済</t>
        </is>
      </c>
    </row>
    <row r="11">
      <c r="A11" s="4" t="n">
        <v>1</v>
      </c>
      <c r="B11" s="4" t="inlineStr">
        <is>
          <t>明治前期</t>
        </is>
      </c>
      <c r="C11" s="4" t="inlineStr">
        <is>
          <t>福沢諭吉</t>
        </is>
      </c>
      <c r="D11" s="4" t="inlineStr">
        <is>
          <t>旧藩情</t>
        </is>
      </c>
      <c r="E11" s="4" t="n">
        <v>1877</v>
      </c>
      <c r="F11" s="4" t="inlineStr">
        <is>
          <t>1_明治前期(〜1886)</t>
        </is>
      </c>
      <c r="G11" s="4" t="inlineStr">
        <is>
          <t>210</t>
        </is>
      </c>
      <c r="H11" s="4" t="inlineStr">
        <is>
          <t>Nonfiction</t>
        </is>
      </c>
      <c r="I11" s="4" t="inlineStr">
        <is>
          <t>Historical-Essay</t>
        </is>
      </c>
      <c r="J11" s="4" t="inlineStr">
        <is>
          <t>文語</t>
        </is>
      </c>
      <c r="K11" s="4" t="inlineStr">
        <is>
          <t>M</t>
        </is>
      </c>
      <c r="L11" s="4" t="inlineStr">
        <is>
          <t>『文明論之概略』の代替。廃藩置県直後の士族社会を論じた明治10年の論説</t>
        </is>
      </c>
      <c r="M11" s="4" t="inlineStr">
        <is>
          <t>公開中</t>
        </is>
      </c>
      <c r="N11" s="4" t="inlineStr">
        <is>
          <t>45664</t>
        </is>
      </c>
      <c r="O11" s="4" t="inlineStr">
        <is>
          <t>—</t>
        </is>
      </c>
      <c r="P11" s="7" t="inlineStr">
        <is>
          <t>収録済</t>
        </is>
      </c>
    </row>
    <row r="12">
      <c r="A12" s="4" t="n">
        <v>1</v>
      </c>
      <c r="B12" s="4" t="inlineStr">
        <is>
          <t>明治前期</t>
        </is>
      </c>
      <c r="C12" s="4" t="inlineStr">
        <is>
          <t>福沢諭吉</t>
        </is>
      </c>
      <c r="D12" s="4" t="inlineStr">
        <is>
          <t>学者安心論</t>
        </is>
      </c>
      <c r="E12" s="4" t="n">
        <v>1876</v>
      </c>
      <c r="F12" s="4" t="inlineStr">
        <is>
          <t>1_明治前期(〜1886)</t>
        </is>
      </c>
      <c r="G12" s="4" t="inlineStr">
        <is>
          <t>304</t>
        </is>
      </c>
      <c r="H12" s="4" t="inlineStr">
        <is>
          <t>Nonfiction</t>
        </is>
      </c>
      <c r="I12" s="4" t="inlineStr">
        <is>
          <t>Enlightenment-Didactic</t>
        </is>
      </c>
      <c r="J12" s="4" t="inlineStr">
        <is>
          <t>文語</t>
        </is>
      </c>
      <c r="K12" s="4" t="inlineStr">
        <is>
          <t>M</t>
        </is>
      </c>
      <c r="L12" s="4" t="inlineStr">
        <is>
          <t>同上。明治9年の論説</t>
        </is>
      </c>
      <c r="M12" s="4" t="inlineStr">
        <is>
          <t>公開中</t>
        </is>
      </c>
      <c r="N12" s="4" t="inlineStr">
        <is>
          <t>47054</t>
        </is>
      </c>
      <c r="O12" s="4" t="inlineStr">
        <is>
          <t>—</t>
        </is>
      </c>
      <c r="P12" s="7" t="inlineStr">
        <is>
          <t>収録済</t>
        </is>
      </c>
    </row>
    <row r="13">
      <c r="A13" s="4" t="n">
        <v>1</v>
      </c>
      <c r="B13" s="4" t="inlineStr">
        <is>
          <t>明治前期</t>
        </is>
      </c>
      <c r="C13" s="4" t="inlineStr">
        <is>
          <t>二葉亭四迷</t>
        </is>
      </c>
      <c r="D13" s="4" t="inlineStr">
        <is>
          <t>あひゞき</t>
        </is>
      </c>
      <c r="E13" s="4" t="n">
        <v>1888</v>
      </c>
      <c r="F13" s="4" t="inlineStr">
        <is>
          <t>2_明治中期(1887-1899)</t>
        </is>
      </c>
      <c r="G13" s="4" t="inlineStr">
        <is>
          <t>983</t>
        </is>
      </c>
      <c r="H13" s="4" t="inlineStr">
        <is>
          <t>Fiction</t>
        </is>
      </c>
      <c r="I13" s="4" t="inlineStr">
        <is>
          <t>Translation</t>
        </is>
      </c>
      <c r="J13" s="4" t="inlineStr">
        <is>
          <t>過渡</t>
        </is>
      </c>
      <c r="K13" s="4" t="inlineStr">
        <is>
          <t>M</t>
        </is>
      </c>
      <c r="L13" s="4" t="inlineStr">
        <is>
          <t>ツルゲーネフ翻訳。言文一致の文体実験として不可欠</t>
        </is>
      </c>
      <c r="M13" s="4" t="inlineStr">
        <is>
          <t>別著者</t>
        </is>
      </c>
      <c r="N13" s="4" t="inlineStr">
        <is>
          <t>5</t>
        </is>
      </c>
      <c r="O13" s="4" t="inlineStr">
        <is>
          <t>ツルゲーネフ イワン『あいびき』として公開。NDC 983、二葉亭四迷訳</t>
        </is>
      </c>
      <c r="P13" s="7" t="inlineStr">
        <is>
          <t>収録済</t>
        </is>
      </c>
    </row>
    <row r="14">
      <c r="A14" s="4" t="n">
        <v>1</v>
      </c>
      <c r="B14" s="4" t="inlineStr">
        <is>
          <t>明治前期</t>
        </is>
      </c>
      <c r="C14" s="4" t="inlineStr">
        <is>
          <t>徳冨蘆花</t>
        </is>
      </c>
      <c r="D14" s="4" t="inlineStr">
        <is>
          <t>自然と人生</t>
        </is>
      </c>
      <c r="E14" s="4" t="n">
        <v>1900</v>
      </c>
      <c r="F14" s="4" t="inlineStr">
        <is>
          <t>3_明治後期(1900-1911)</t>
        </is>
      </c>
      <c r="G14" s="4" t="inlineStr">
        <is>
          <t>914</t>
        </is>
      </c>
      <c r="H14" s="4" t="inlineStr">
        <is>
          <t>Nonfiction</t>
        </is>
      </c>
      <c r="I14" s="4" t="inlineStr">
        <is>
          <t>Sketch-Essay</t>
        </is>
      </c>
      <c r="J14" s="4" t="inlineStr">
        <is>
          <t>過渡</t>
        </is>
      </c>
      <c r="K14" s="4" t="inlineStr">
        <is>
          <t>M</t>
        </is>
      </c>
      <c r="L14" s="4" t="inlineStr">
        <is>
          <t>1点のみの作家の補強かつ随筆ジャンルの補強</t>
        </is>
      </c>
      <c r="M14" s="4" t="inlineStr">
        <is>
          <t>作業中</t>
        </is>
      </c>
      <c r="N14" s="4" t="inlineStr"/>
      <c r="O14" s="4" t="inlineStr">
        <is>
          <t>未公開。同書所収の写生文『良夜』46536・『花月の夜』46537 で代替</t>
        </is>
      </c>
      <c r="P14" s="7" t="inlineStr">
        <is>
          <t>未収録</t>
        </is>
      </c>
    </row>
    <row r="15">
      <c r="A15" s="4" t="n">
        <v>1</v>
      </c>
      <c r="B15" s="4" t="inlineStr">
        <is>
          <t>明治前期</t>
        </is>
      </c>
      <c r="C15" s="4" t="inlineStr">
        <is>
          <t>福沢諭吉</t>
        </is>
      </c>
      <c r="D15" s="4" t="inlineStr">
        <is>
          <t>文明論之概略</t>
        </is>
      </c>
      <c r="E15" s="4" t="n">
        <v>1875</v>
      </c>
      <c r="F15" s="4" t="inlineStr">
        <is>
          <t>1_明治前期(〜1886)</t>
        </is>
      </c>
      <c r="G15" s="4" t="inlineStr">
        <is>
          <t>304</t>
        </is>
      </c>
      <c r="H15" s="4" t="inlineStr">
        <is>
          <t>Nonfiction</t>
        </is>
      </c>
      <c r="I15" s="4" t="inlineStr">
        <is>
          <t>Enlightenment-Didactic</t>
        </is>
      </c>
      <c r="J15" s="4" t="inlineStr">
        <is>
          <t>文語</t>
        </is>
      </c>
      <c r="K15" s="4" t="inlineStr">
        <is>
          <t>M</t>
        </is>
      </c>
      <c r="L15" s="4" t="inlineStr">
        <is>
          <t>明治初期の漢文脈論説文。現行コーパスで1886年以前は『学問のすすめ』1点のみ</t>
        </is>
      </c>
      <c r="M15" s="4" t="inlineStr">
        <is>
          <t>作業中</t>
        </is>
      </c>
      <c r="N15" s="4" t="inlineStr"/>
      <c r="O15" s="4" t="inlineStr">
        <is>
          <t>青空文庫で作業中（未公開）。『旧藩情』45664・『学者安心論』47054 で代替</t>
        </is>
      </c>
      <c r="P15" s="7" t="inlineStr">
        <is>
          <t>未収録</t>
        </is>
      </c>
    </row>
    <row r="16">
      <c r="A16" s="4" t="n">
        <v>1</v>
      </c>
      <c r="B16" s="4" t="inlineStr">
        <is>
          <t>明治前期</t>
        </is>
      </c>
      <c r="C16" s="4" t="inlineStr">
        <is>
          <t>中村正直</t>
        </is>
      </c>
      <c r="D16" s="4" t="inlineStr">
        <is>
          <t>西国立志編</t>
        </is>
      </c>
      <c r="E16" s="4" t="n">
        <v>1871</v>
      </c>
      <c r="F16" s="4" t="inlineStr">
        <is>
          <t>1_明治前期(〜1886)</t>
        </is>
      </c>
      <c r="G16" s="4" t="inlineStr">
        <is>
          <t>159</t>
        </is>
      </c>
      <c r="H16" s="4" t="inlineStr">
        <is>
          <t>Nonfiction</t>
        </is>
      </c>
      <c r="I16" s="4" t="inlineStr">
        <is>
          <t>Translation-Didactic</t>
        </is>
      </c>
      <c r="J16" s="4" t="inlineStr">
        <is>
          <t>文語</t>
        </is>
      </c>
      <c r="K16" s="4" t="inlineStr">
        <is>
          <t>M</t>
        </is>
      </c>
      <c r="L16" s="4" t="inlineStr">
        <is>
          <t>幕末明治の翻訳文体（漢文訓読体）の基準点</t>
        </is>
      </c>
      <c r="M16" s="4" t="inlineStr">
        <is>
          <t>未登録</t>
        </is>
      </c>
      <c r="N16" s="4" t="inlineStr"/>
      <c r="O16" s="4" t="inlineStr">
        <is>
          <t>作家登録（person2211）はあるが作品は0件。取得不可</t>
        </is>
      </c>
      <c r="P16" s="7" t="inlineStr">
        <is>
          <t>未収録</t>
        </is>
      </c>
    </row>
    <row r="17">
      <c r="A17" s="4" t="n">
        <v>2</v>
      </c>
      <c r="B17" s="4" t="inlineStr">
        <is>
          <t>女性作家</t>
        </is>
      </c>
      <c r="C17" s="4" t="inlineStr">
        <is>
          <t>与謝野晶子</t>
        </is>
      </c>
      <c r="D17" s="4" t="inlineStr">
        <is>
          <t>「女らしさ」とは何か</t>
        </is>
      </c>
      <c r="E17" s="4" t="n">
        <v>1921</v>
      </c>
      <c r="F17" s="4" t="inlineStr">
        <is>
          <t>4_大正(1912-1925)</t>
        </is>
      </c>
      <c r="G17" s="4" t="inlineStr">
        <is>
          <t>914</t>
        </is>
      </c>
      <c r="H17" s="4" t="inlineStr">
        <is>
          <t>Nonfiction</t>
        </is>
      </c>
      <c r="I17" s="4" t="inlineStr">
        <is>
          <t>Criticism</t>
        </is>
      </c>
      <c r="J17" s="4" t="inlineStr">
        <is>
          <t>口語</t>
        </is>
      </c>
      <c r="K17" s="4" t="inlineStr">
        <is>
          <t>F</t>
        </is>
      </c>
      <c r="L17" s="4" t="inlineStr">
        <is>
          <t>大正期女性評論。『人及び女として』が未公開のための代替</t>
        </is>
      </c>
      <c r="M17" s="4" t="inlineStr">
        <is>
          <t>公開中</t>
        </is>
      </c>
      <c r="N17" s="4" t="inlineStr">
        <is>
          <t>3325</t>
        </is>
      </c>
      <c r="O17" s="4" t="inlineStr">
        <is>
          <t>—</t>
        </is>
      </c>
      <c r="P17" s="7" t="inlineStr">
        <is>
          <t>収録済</t>
        </is>
      </c>
    </row>
    <row r="18">
      <c r="A18" s="4" t="n">
        <v>2</v>
      </c>
      <c r="B18" s="4" t="inlineStr">
        <is>
          <t>女性作家</t>
        </is>
      </c>
      <c r="C18" s="4" t="inlineStr">
        <is>
          <t>与謝野晶子</t>
        </is>
      </c>
      <c r="D18" s="4" t="inlineStr">
        <is>
          <t>私の貞操観</t>
        </is>
      </c>
      <c r="E18" s="4" t="n">
        <v>1915</v>
      </c>
      <c r="F18" s="4" t="inlineStr">
        <is>
          <t>4_大正(1912-1925)</t>
        </is>
      </c>
      <c r="G18" s="4" t="inlineStr">
        <is>
          <t>914</t>
        </is>
      </c>
      <c r="H18" s="4" t="inlineStr">
        <is>
          <t>Nonfiction</t>
        </is>
      </c>
      <c r="I18" s="4" t="inlineStr">
        <is>
          <t>Criticism</t>
        </is>
      </c>
      <c r="J18" s="4" t="inlineStr">
        <is>
          <t>口語</t>
        </is>
      </c>
      <c r="K18" s="4" t="inlineStr">
        <is>
          <t>F</t>
        </is>
      </c>
      <c r="L18" s="4" t="inlineStr">
        <is>
          <t>同上</t>
        </is>
      </c>
      <c r="M18" s="4" t="inlineStr">
        <is>
          <t>公開中</t>
        </is>
      </c>
      <c r="N18" s="4" t="inlineStr">
        <is>
          <t>3319</t>
        </is>
      </c>
      <c r="O18" s="4" t="inlineStr">
        <is>
          <t>—</t>
        </is>
      </c>
      <c r="P18" s="7" t="inlineStr">
        <is>
          <t>収録済</t>
        </is>
      </c>
    </row>
    <row r="19">
      <c r="A19" s="4" t="n">
        <v>2</v>
      </c>
      <c r="B19" s="4" t="inlineStr">
        <is>
          <t>女性作家</t>
        </is>
      </c>
      <c r="C19" s="4" t="inlineStr">
        <is>
          <t>伊藤野枝</t>
        </is>
      </c>
      <c r="D19" s="4" t="inlineStr">
        <is>
          <t>新らしき女の道</t>
        </is>
      </c>
      <c r="E19" s="4" t="n">
        <v>1913</v>
      </c>
      <c r="F19" s="4" t="inlineStr">
        <is>
          <t>4_大正(1912-1925)</t>
        </is>
      </c>
      <c r="G19" s="4" t="inlineStr">
        <is>
          <t>914</t>
        </is>
      </c>
      <c r="H19" s="4" t="inlineStr">
        <is>
          <t>Nonfiction</t>
        </is>
      </c>
      <c r="I19" s="4" t="inlineStr">
        <is>
          <t>Criticism</t>
        </is>
      </c>
      <c r="J19" s="4" t="inlineStr">
        <is>
          <t>口語</t>
        </is>
      </c>
      <c r="K19" s="4" t="inlineStr">
        <is>
          <t>F</t>
        </is>
      </c>
      <c r="L19" s="4" t="inlineStr">
        <is>
          <t>大正期女性評論。1923年没のため公開されている</t>
        </is>
      </c>
      <c r="M19" s="4" t="inlineStr">
        <is>
          <t>公開中</t>
        </is>
      </c>
      <c r="N19" s="4" t="inlineStr">
        <is>
          <t>56232</t>
        </is>
      </c>
      <c r="O19" s="4" t="inlineStr">
        <is>
          <t>—</t>
        </is>
      </c>
      <c r="P19" s="7" t="inlineStr">
        <is>
          <t>収録済</t>
        </is>
      </c>
    </row>
    <row r="20">
      <c r="A20" s="4" t="n">
        <v>2</v>
      </c>
      <c r="B20" s="4" t="inlineStr">
        <is>
          <t>女性作家</t>
        </is>
      </c>
      <c r="C20" s="4" t="inlineStr">
        <is>
          <t>伊藤野枝</t>
        </is>
      </c>
      <c r="D20" s="4" t="inlineStr">
        <is>
          <t>ある男の堕落</t>
        </is>
      </c>
      <c r="E20" s="4" t="n">
        <v>1917</v>
      </c>
      <c r="F20" s="4" t="inlineStr">
        <is>
          <t>4_大正(1912-1925)</t>
        </is>
      </c>
      <c r="G20" s="4" t="inlineStr">
        <is>
          <t>913</t>
        </is>
      </c>
      <c r="H20" s="4" t="inlineStr">
        <is>
          <t>Fiction</t>
        </is>
      </c>
      <c r="I20" s="4" t="inlineStr">
        <is>
          <t>Modern</t>
        </is>
      </c>
      <c r="J20" s="4" t="inlineStr">
        <is>
          <t>口語</t>
        </is>
      </c>
      <c r="K20" s="4" t="inlineStr">
        <is>
          <t>F</t>
        </is>
      </c>
      <c r="L20" s="4" t="inlineStr">
        <is>
          <t>同上（小説）</t>
        </is>
      </c>
      <c r="M20" s="4" t="inlineStr">
        <is>
          <t>公開中</t>
        </is>
      </c>
      <c r="N20" s="4" t="inlineStr">
        <is>
          <t>3577</t>
        </is>
      </c>
      <c r="O20" s="4" t="inlineStr">
        <is>
          <t>—</t>
        </is>
      </c>
      <c r="P20" s="7" t="inlineStr">
        <is>
          <t>収録済</t>
        </is>
      </c>
    </row>
    <row r="21">
      <c r="A21" s="4" t="n">
        <v>2</v>
      </c>
      <c r="B21" s="4" t="inlineStr">
        <is>
          <t>女性作家</t>
        </is>
      </c>
      <c r="C21" s="4" t="inlineStr">
        <is>
          <t>樋口一葉</t>
        </is>
      </c>
      <c r="D21" s="4" t="inlineStr">
        <is>
          <t>たけくらべ</t>
        </is>
      </c>
      <c r="E21" s="4" t="n">
        <v>1895</v>
      </c>
      <c r="F21" s="4" t="inlineStr">
        <is>
          <t>2_明治中期(1887-1899)</t>
        </is>
      </c>
      <c r="G21" s="4" t="inlineStr">
        <is>
          <t>913</t>
        </is>
      </c>
      <c r="H21" s="4" t="inlineStr">
        <is>
          <t>Fiction</t>
        </is>
      </c>
      <c r="I21" s="4" t="inlineStr">
        <is>
          <t>Modern</t>
        </is>
      </c>
      <c r="J21" s="4" t="inlineStr">
        <is>
          <t>文語</t>
        </is>
      </c>
      <c r="K21" s="4" t="inlineStr">
        <is>
          <t>F</t>
        </is>
      </c>
      <c r="L21" s="4" t="inlineStr">
        <is>
          <t>明治期女性作家の最重要欠落。雅俗折衷体</t>
        </is>
      </c>
      <c r="M21" s="4" t="inlineStr">
        <is>
          <t>公開中</t>
        </is>
      </c>
      <c r="N21" s="4" t="inlineStr"/>
      <c r="O21" s="4" t="inlineStr">
        <is>
          <t>—</t>
        </is>
      </c>
      <c r="P21" s="7" t="inlineStr">
        <is>
          <t>収録済</t>
        </is>
      </c>
    </row>
    <row r="22">
      <c r="A22" s="4" t="n">
        <v>2</v>
      </c>
      <c r="B22" s="4" t="inlineStr">
        <is>
          <t>女性作家</t>
        </is>
      </c>
      <c r="C22" s="4" t="inlineStr">
        <is>
          <t>樋口一葉</t>
        </is>
      </c>
      <c r="D22" s="4" t="inlineStr">
        <is>
          <t>にごりえ</t>
        </is>
      </c>
      <c r="E22" s="4" t="n">
        <v>1895</v>
      </c>
      <c r="F22" s="4" t="inlineStr">
        <is>
          <t>2_明治中期(1887-1899)</t>
        </is>
      </c>
      <c r="G22" s="4" t="inlineStr">
        <is>
          <t>913</t>
        </is>
      </c>
      <c r="H22" s="4" t="inlineStr">
        <is>
          <t>Fiction</t>
        </is>
      </c>
      <c r="I22" s="4" t="inlineStr">
        <is>
          <t>Modern</t>
        </is>
      </c>
      <c r="J22" s="4" t="inlineStr">
        <is>
          <t>文語</t>
        </is>
      </c>
      <c r="K22" s="4" t="inlineStr">
        <is>
          <t>F</t>
        </is>
      </c>
      <c r="L22" s="4" t="inlineStr">
        <is>
          <t>同上</t>
        </is>
      </c>
      <c r="M22" s="4" t="inlineStr">
        <is>
          <t>公開中</t>
        </is>
      </c>
      <c r="N22" s="4" t="inlineStr"/>
      <c r="O22" s="4" t="inlineStr">
        <is>
          <t>—</t>
        </is>
      </c>
      <c r="P22" s="7" t="inlineStr">
        <is>
          <t>収録済</t>
        </is>
      </c>
    </row>
    <row r="23">
      <c r="A23" s="4" t="n">
        <v>2</v>
      </c>
      <c r="B23" s="4" t="inlineStr">
        <is>
          <t>女性作家</t>
        </is>
      </c>
      <c r="C23" s="4" t="inlineStr">
        <is>
          <t>樋口一葉</t>
        </is>
      </c>
      <c r="D23" s="4" t="inlineStr">
        <is>
          <t>十三夜</t>
        </is>
      </c>
      <c r="E23" s="4" t="n">
        <v>1895</v>
      </c>
      <c r="F23" s="4" t="inlineStr">
        <is>
          <t>2_明治中期(1887-1899)</t>
        </is>
      </c>
      <c r="G23" s="4" t="inlineStr">
        <is>
          <t>913</t>
        </is>
      </c>
      <c r="H23" s="4" t="inlineStr">
        <is>
          <t>Fiction</t>
        </is>
      </c>
      <c r="I23" s="4" t="inlineStr">
        <is>
          <t>Modern</t>
        </is>
      </c>
      <c r="J23" s="4" t="inlineStr">
        <is>
          <t>文語</t>
        </is>
      </c>
      <c r="K23" s="4" t="inlineStr">
        <is>
          <t>F</t>
        </is>
      </c>
      <c r="L23" s="4" t="inlineStr">
        <is>
          <t>同上</t>
        </is>
      </c>
      <c r="M23" s="4" t="inlineStr">
        <is>
          <t>公開中</t>
        </is>
      </c>
      <c r="N23" s="4" t="inlineStr"/>
      <c r="O23" s="4" t="inlineStr">
        <is>
          <t>—</t>
        </is>
      </c>
      <c r="P23" s="7" t="inlineStr">
        <is>
          <t>収録済</t>
        </is>
      </c>
    </row>
    <row r="24">
      <c r="A24" s="4" t="n">
        <v>2</v>
      </c>
      <c r="B24" s="4" t="inlineStr">
        <is>
          <t>女性作家</t>
        </is>
      </c>
      <c r="C24" s="4" t="inlineStr">
        <is>
          <t>水野仙子</t>
        </is>
      </c>
      <c r="D24" s="4" t="inlineStr">
        <is>
          <t>四十余日</t>
        </is>
      </c>
      <c r="E24" s="4" t="n">
        <v>1913</v>
      </c>
      <c r="F24" s="4" t="inlineStr">
        <is>
          <t>4_大正(1912-1925)</t>
        </is>
      </c>
      <c r="G24" s="4" t="inlineStr">
        <is>
          <t>913</t>
        </is>
      </c>
      <c r="H24" s="4" t="inlineStr">
        <is>
          <t>Fiction</t>
        </is>
      </c>
      <c r="I24" s="4" t="inlineStr">
        <is>
          <t>Modern</t>
        </is>
      </c>
      <c r="J24" s="4" t="inlineStr">
        <is>
          <t>口語</t>
        </is>
      </c>
      <c r="K24" s="4" t="inlineStr">
        <is>
          <t>F</t>
        </is>
      </c>
      <c r="L24" s="4" t="inlineStr">
        <is>
          <t>明治末〜大正の女性作家。保護期間の壁を越えられる数少ない例（1919年没）</t>
        </is>
      </c>
      <c r="M24" s="4" t="inlineStr">
        <is>
          <t>公開中</t>
        </is>
      </c>
      <c r="N24" s="4" t="inlineStr">
        <is>
          <t>601</t>
        </is>
      </c>
      <c r="O24" s="4" t="inlineStr">
        <is>
          <t>—</t>
        </is>
      </c>
      <c r="P24" s="7" t="inlineStr">
        <is>
          <t>収録済</t>
        </is>
      </c>
    </row>
    <row r="25">
      <c r="A25" s="4" t="n">
        <v>2</v>
      </c>
      <c r="B25" s="4" t="inlineStr">
        <is>
          <t>女性作家</t>
        </is>
      </c>
      <c r="C25" s="4" t="inlineStr">
        <is>
          <t>水野仙子</t>
        </is>
      </c>
      <c r="D25" s="4" t="inlineStr">
        <is>
          <t>脱殻</t>
        </is>
      </c>
      <c r="E25" s="4" t="n">
        <v>1914</v>
      </c>
      <c r="F25" s="4" t="inlineStr">
        <is>
          <t>4_大正(1912-1925)</t>
        </is>
      </c>
      <c r="G25" s="4" t="inlineStr">
        <is>
          <t>913</t>
        </is>
      </c>
      <c r="H25" s="4" t="inlineStr">
        <is>
          <t>Fiction</t>
        </is>
      </c>
      <c r="I25" s="4" t="inlineStr">
        <is>
          <t>Modern</t>
        </is>
      </c>
      <c r="J25" s="4" t="inlineStr">
        <is>
          <t>口語</t>
        </is>
      </c>
      <c r="K25" s="4" t="inlineStr">
        <is>
          <t>F</t>
        </is>
      </c>
      <c r="L25" s="4" t="inlineStr">
        <is>
          <t>同上</t>
        </is>
      </c>
      <c r="M25" s="4" t="inlineStr">
        <is>
          <t>公開中</t>
        </is>
      </c>
      <c r="N25" s="4" t="inlineStr">
        <is>
          <t>4263</t>
        </is>
      </c>
      <c r="O25" s="4" t="inlineStr">
        <is>
          <t>—</t>
        </is>
      </c>
      <c r="P25" s="7" t="inlineStr">
        <is>
          <t>収録済</t>
        </is>
      </c>
    </row>
    <row r="26">
      <c r="A26" s="4" t="n">
        <v>2</v>
      </c>
      <c r="B26" s="4" t="inlineStr">
        <is>
          <t>女性作家</t>
        </is>
      </c>
      <c r="C26" s="4" t="inlineStr">
        <is>
          <t>田村俊子</t>
        </is>
      </c>
      <c r="D26" s="4" t="inlineStr">
        <is>
          <t>木乃伊の口紅</t>
        </is>
      </c>
      <c r="E26" s="4" t="n">
        <v>1913</v>
      </c>
      <c r="F26" s="4" t="inlineStr">
        <is>
          <t>4_大正(1912-1925)</t>
        </is>
      </c>
      <c r="G26" s="4" t="inlineStr">
        <is>
          <t>913</t>
        </is>
      </c>
      <c r="H26" s="4" t="inlineStr">
        <is>
          <t>Fiction</t>
        </is>
      </c>
      <c r="I26" s="4" t="inlineStr">
        <is>
          <t>Modern</t>
        </is>
      </c>
      <c r="J26" s="4" t="inlineStr">
        <is>
          <t>過渡</t>
        </is>
      </c>
      <c r="K26" s="4" t="inlineStr">
        <is>
          <t>F</t>
        </is>
      </c>
      <c r="L26" s="4" t="inlineStr">
        <is>
          <t>田村俊子の唯一の公開作。旧字旧仮名なので正書法の統制に注意</t>
        </is>
      </c>
      <c r="M26" s="4" t="inlineStr">
        <is>
          <t>公開中</t>
        </is>
      </c>
      <c r="N26" s="4" t="inlineStr">
        <is>
          <t>5006</t>
        </is>
      </c>
      <c r="O26" s="4" t="inlineStr">
        <is>
          <t>旧字旧仮名</t>
        </is>
      </c>
      <c r="P26" s="7" t="inlineStr">
        <is>
          <t>収録済</t>
        </is>
      </c>
    </row>
    <row r="27">
      <c r="A27" s="4" t="n">
        <v>2</v>
      </c>
      <c r="B27" s="4" t="inlineStr">
        <is>
          <t>女性作家</t>
        </is>
      </c>
      <c r="C27" s="4" t="inlineStr">
        <is>
          <t>田村俊子</t>
        </is>
      </c>
      <c r="D27" s="4" t="inlineStr">
        <is>
          <t>あきらめ</t>
        </is>
      </c>
      <c r="E27" s="4" t="n">
        <v>1911</v>
      </c>
      <c r="F27" s="4" t="inlineStr">
        <is>
          <t>3_明治後期(1900-1911)</t>
        </is>
      </c>
      <c r="G27" s="4" t="inlineStr">
        <is>
          <t>913</t>
        </is>
      </c>
      <c r="H27" s="4" t="inlineStr">
        <is>
          <t>Fiction</t>
        </is>
      </c>
      <c r="I27" s="4" t="inlineStr">
        <is>
          <t>Modern</t>
        </is>
      </c>
      <c r="J27" s="4" t="inlineStr">
        <is>
          <t>口語</t>
        </is>
      </c>
      <c r="K27" s="4" t="inlineStr">
        <is>
          <t>F</t>
        </is>
      </c>
      <c r="L27" s="4" t="inlineStr">
        <is>
          <t>明治末の女性作家</t>
        </is>
      </c>
      <c r="M27" s="4" t="inlineStr">
        <is>
          <t>作業中</t>
        </is>
      </c>
      <c r="N27" s="4" t="inlineStr"/>
      <c r="O27" s="4" t="inlineStr">
        <is>
          <t>未公開。公開作は『木乃伊の口紅』5006（旧字旧仮名）のみ</t>
        </is>
      </c>
      <c r="P27" s="7" t="inlineStr">
        <is>
          <t>未収録</t>
        </is>
      </c>
    </row>
    <row r="28">
      <c r="A28" s="4" t="n">
        <v>2</v>
      </c>
      <c r="B28" s="4" t="inlineStr">
        <is>
          <t>女性作家</t>
        </is>
      </c>
      <c r="C28" s="4" t="inlineStr">
        <is>
          <t>若松賤子</t>
        </is>
      </c>
      <c r="D28" s="4" t="inlineStr">
        <is>
          <t>小公子</t>
        </is>
      </c>
      <c r="E28" s="4" t="n">
        <v>1890</v>
      </c>
      <c r="F28" s="4" t="inlineStr">
        <is>
          <t>2_明治中期(1887-1899)</t>
        </is>
      </c>
      <c r="G28" s="4" t="inlineStr">
        <is>
          <t>933</t>
        </is>
      </c>
      <c r="H28" s="4" t="inlineStr">
        <is>
          <t>Fiction</t>
        </is>
      </c>
      <c r="I28" s="4" t="inlineStr">
        <is>
          <t>Translation</t>
        </is>
      </c>
      <c r="J28" s="4" t="inlineStr">
        <is>
          <t>過渡</t>
        </is>
      </c>
      <c r="K28" s="4" t="inlineStr">
        <is>
          <t>F</t>
        </is>
      </c>
      <c r="L28" s="4" t="inlineStr">
        <is>
          <t>女性訳者による言文一致翻訳。ジャンル・性別・文体の三重の空白を同時に埋める</t>
        </is>
      </c>
      <c r="M28" s="4" t="inlineStr">
        <is>
          <t>作業中</t>
        </is>
      </c>
      <c r="N28" s="4" t="inlineStr"/>
      <c r="O28" s="4" t="inlineStr">
        <is>
          <t>バーネット名義で作業中（作業ID 43033）。未公開</t>
        </is>
      </c>
      <c r="P28" s="7" t="inlineStr">
        <is>
          <t>未収録</t>
        </is>
      </c>
    </row>
    <row r="29">
      <c r="A29" s="4" t="n">
        <v>2</v>
      </c>
      <c r="B29" s="4" t="inlineStr">
        <is>
          <t>女性作家</t>
        </is>
      </c>
      <c r="C29" s="4" t="inlineStr">
        <is>
          <t>与謝野晶子</t>
        </is>
      </c>
      <c r="D29" s="4" t="inlineStr">
        <is>
          <t>人及び女として</t>
        </is>
      </c>
      <c r="E29" s="4" t="n">
        <v>1916</v>
      </c>
      <c r="F29" s="4" t="inlineStr">
        <is>
          <t>4_大正(1912-1925)</t>
        </is>
      </c>
      <c r="G29" s="4" t="inlineStr">
        <is>
          <t>914</t>
        </is>
      </c>
      <c r="H29" s="4" t="inlineStr">
        <is>
          <t>Nonfiction</t>
        </is>
      </c>
      <c r="I29" s="4" t="inlineStr">
        <is>
          <t>Criticism</t>
        </is>
      </c>
      <c r="J29" s="4" t="inlineStr">
        <is>
          <t>口語</t>
        </is>
      </c>
      <c r="K29" s="4" t="inlineStr">
        <is>
          <t>F</t>
        </is>
      </c>
      <c r="L29" s="4" t="inlineStr">
        <is>
          <t>大正期女性評論の標本</t>
        </is>
      </c>
      <c r="M29" s="4" t="inlineStr">
        <is>
          <t>未公開</t>
        </is>
      </c>
      <c r="N29" s="4" t="inlineStr"/>
      <c r="O29" s="4" t="inlineStr">
        <is>
          <t>公開122作品中になし。『「女らしさ」とは何か』3325・『私の貞操観』3319 で代替</t>
        </is>
      </c>
      <c r="P29" s="7" t="inlineStr">
        <is>
          <t>未収録</t>
        </is>
      </c>
    </row>
    <row r="30">
      <c r="A30" s="4" t="n">
        <v>2</v>
      </c>
      <c r="B30" s="4" t="inlineStr">
        <is>
          <t>女性作家</t>
        </is>
      </c>
      <c r="C30" s="4" t="inlineStr">
        <is>
          <t>佐多稲子</t>
        </is>
      </c>
      <c r="D30" s="4" t="inlineStr">
        <is>
          <t>キャラメル工場から</t>
        </is>
      </c>
      <c r="E30" s="4" t="n">
        <v>1928</v>
      </c>
      <c r="F30" s="4" t="inlineStr">
        <is>
          <t>5_昭和戦前(1926-1944)</t>
        </is>
      </c>
      <c r="G30" s="4" t="inlineStr">
        <is>
          <t>913</t>
        </is>
      </c>
      <c r="H30" s="4" t="inlineStr">
        <is>
          <t>Fiction</t>
        </is>
      </c>
      <c r="I30" s="4" t="inlineStr">
        <is>
          <t>Proletarian</t>
        </is>
      </c>
      <c r="J30" s="4" t="inlineStr">
        <is>
          <t>口語</t>
        </is>
      </c>
      <c r="K30" s="4" t="inlineStr">
        <is>
          <t>F</t>
        </is>
      </c>
      <c r="L30" s="4" t="inlineStr">
        <is>
          <t>同上</t>
        </is>
      </c>
      <c r="M30" s="4" t="inlineStr">
        <is>
          <t>保護期間中</t>
        </is>
      </c>
      <c r="N30" s="4" t="inlineStr"/>
      <c r="O30" s="4" t="inlineStr">
        <is>
          <t>1998年没。2068年まで保護</t>
        </is>
      </c>
      <c r="P30" s="7" t="inlineStr">
        <is>
          <t>未収録</t>
        </is>
      </c>
    </row>
    <row r="31">
      <c r="A31" s="4" t="n">
        <v>2</v>
      </c>
      <c r="B31" s="4" t="inlineStr">
        <is>
          <t>女性作家</t>
        </is>
      </c>
      <c r="C31" s="4" t="inlineStr">
        <is>
          <t>尾崎翠</t>
        </is>
      </c>
      <c r="D31" s="4" t="inlineStr">
        <is>
          <t>第七官界彷徨</t>
        </is>
      </c>
      <c r="E31" s="4" t="n">
        <v>1931</v>
      </c>
      <c r="F31" s="4" t="inlineStr">
        <is>
          <t>5_昭和戦前(1926-1944)</t>
        </is>
      </c>
      <c r="G31" s="4" t="inlineStr">
        <is>
          <t>913</t>
        </is>
      </c>
      <c r="H31" s="4" t="inlineStr">
        <is>
          <t>Fiction</t>
        </is>
      </c>
      <c r="I31" s="4" t="inlineStr">
        <is>
          <t>Experimental</t>
        </is>
      </c>
      <c r="J31" s="4" t="inlineStr">
        <is>
          <t>口語</t>
        </is>
      </c>
      <c r="K31" s="4" t="inlineStr">
        <is>
          <t>F</t>
        </is>
      </c>
      <c r="L31" s="4" t="inlineStr">
        <is>
          <t>昭和戦前の実験的女性作家</t>
        </is>
      </c>
      <c r="M31" s="4" t="inlineStr">
        <is>
          <t>保護期間中</t>
        </is>
      </c>
      <c r="N31" s="4" t="inlineStr"/>
      <c r="O31" s="4" t="inlineStr">
        <is>
          <t>1971年没。2018年改正により2041年まで保護</t>
        </is>
      </c>
      <c r="P31" s="7" t="inlineStr">
        <is>
          <t>未収録</t>
        </is>
      </c>
    </row>
    <row r="32">
      <c r="A32" s="4" t="n">
        <v>2</v>
      </c>
      <c r="B32" s="4" t="inlineStr">
        <is>
          <t>女性作家</t>
        </is>
      </c>
      <c r="C32" s="4" t="inlineStr">
        <is>
          <t>平林たい子</t>
        </is>
      </c>
      <c r="D32" s="4" t="inlineStr">
        <is>
          <t>施療室にて</t>
        </is>
      </c>
      <c r="E32" s="4" t="n">
        <v>1927</v>
      </c>
      <c r="F32" s="4" t="inlineStr">
        <is>
          <t>5_昭和戦前(1926-1944)</t>
        </is>
      </c>
      <c r="G32" s="4" t="inlineStr">
        <is>
          <t>913</t>
        </is>
      </c>
      <c r="H32" s="4" t="inlineStr">
        <is>
          <t>Fiction</t>
        </is>
      </c>
      <c r="I32" s="4" t="inlineStr">
        <is>
          <t>Proletarian</t>
        </is>
      </c>
      <c r="J32" s="4" t="inlineStr">
        <is>
          <t>口語</t>
        </is>
      </c>
      <c r="K32" s="4" t="inlineStr">
        <is>
          <t>F</t>
        </is>
      </c>
      <c r="L32" s="4" t="inlineStr">
        <is>
          <t>女性プロレタリア作家。多喜二4点に対する対照項</t>
        </is>
      </c>
      <c r="M32" s="4" t="inlineStr">
        <is>
          <t>保護期間中</t>
        </is>
      </c>
      <c r="N32" s="4" t="inlineStr"/>
      <c r="O32" s="4" t="inlineStr">
        <is>
          <t>1972年没。2018年改正により2042年まで保護</t>
        </is>
      </c>
      <c r="P32" s="7" t="inlineStr">
        <is>
          <t>未収録</t>
        </is>
      </c>
    </row>
    <row r="33">
      <c r="A33" s="4" t="n">
        <v>2</v>
      </c>
      <c r="B33" s="4" t="inlineStr">
        <is>
          <t>女性作家</t>
        </is>
      </c>
      <c r="C33" s="4" t="inlineStr">
        <is>
          <t>野上弥生子</t>
        </is>
      </c>
      <c r="D33" s="4" t="inlineStr">
        <is>
          <t>海神丸</t>
        </is>
      </c>
      <c r="E33" s="4" t="n">
        <v>1922</v>
      </c>
      <c r="F33" s="4" t="inlineStr">
        <is>
          <t>4_大正(1912-1925)</t>
        </is>
      </c>
      <c r="G33" s="4" t="inlineStr">
        <is>
          <t>913</t>
        </is>
      </c>
      <c r="H33" s="4" t="inlineStr">
        <is>
          <t>Fiction</t>
        </is>
      </c>
      <c r="I33" s="4" t="inlineStr">
        <is>
          <t>Modern</t>
        </is>
      </c>
      <c r="J33" s="4" t="inlineStr">
        <is>
          <t>口語</t>
        </is>
      </c>
      <c r="K33" s="4" t="inlineStr">
        <is>
          <t>F</t>
        </is>
      </c>
      <c r="L33" s="4" t="inlineStr">
        <is>
          <t>大正期女性小説。現行コーパスの大正期は10点と手薄</t>
        </is>
      </c>
      <c r="M33" s="4" t="inlineStr">
        <is>
          <t>保護期間中</t>
        </is>
      </c>
      <c r="N33" s="4" t="inlineStr"/>
      <c r="O33" s="4" t="inlineStr">
        <is>
          <t>1985年没。2055年まで保護。青空文庫に登録なし</t>
        </is>
      </c>
      <c r="P33" s="7" t="inlineStr">
        <is>
          <t>未収録</t>
        </is>
      </c>
    </row>
    <row r="34">
      <c r="A34" s="4" t="n">
        <v>3</v>
      </c>
      <c r="B34" s="4" t="inlineStr">
        <is>
          <t>ジャンル</t>
        </is>
      </c>
      <c r="C34" s="4" t="inlineStr">
        <is>
          <t>上田敏</t>
        </is>
      </c>
      <c r="D34" s="4" t="inlineStr">
        <is>
          <t>海潮音</t>
        </is>
      </c>
      <c r="E34" s="4" t="n">
        <v>1905</v>
      </c>
      <c r="F34" s="4" t="inlineStr">
        <is>
          <t>3_明治後期(1900-1911)</t>
        </is>
      </c>
      <c r="G34" s="4" t="inlineStr">
        <is>
          <t>951</t>
        </is>
      </c>
      <c r="H34" s="4" t="inlineStr">
        <is>
          <t>Nonfiction</t>
        </is>
      </c>
      <c r="I34" s="4" t="inlineStr">
        <is>
          <t>Translation-Verse</t>
        </is>
      </c>
      <c r="J34" s="4" t="inlineStr">
        <is>
          <t>文語</t>
        </is>
      </c>
      <c r="K34" s="4" t="inlineStr">
        <is>
          <t>M</t>
        </is>
      </c>
      <c r="L34" s="4" t="inlineStr">
        <is>
          <t>訳詩集。韻文の標本（任意）</t>
        </is>
      </c>
      <c r="M34" s="4" t="inlineStr">
        <is>
          <t>公開中</t>
        </is>
      </c>
      <c r="N34" s="4" t="inlineStr"/>
      <c r="O34" s="4" t="inlineStr">
        <is>
          <t>—</t>
        </is>
      </c>
      <c r="P34" s="7" t="inlineStr">
        <is>
          <t>収録済</t>
        </is>
      </c>
    </row>
    <row r="35">
      <c r="A35" s="4" t="n">
        <v>3</v>
      </c>
      <c r="B35" s="4" t="inlineStr">
        <is>
          <t>ジャンル</t>
        </is>
      </c>
      <c r="C35" s="4" t="inlineStr">
        <is>
          <t>北村透谷</t>
        </is>
      </c>
      <c r="D35" s="4" t="inlineStr">
        <is>
          <t>内部生命論</t>
        </is>
      </c>
      <c r="E35" s="4" t="n">
        <v>1893</v>
      </c>
      <c r="F35" s="4" t="inlineStr">
        <is>
          <t>2_明治中期(1887-1899)</t>
        </is>
      </c>
      <c r="G35" s="4" t="inlineStr">
        <is>
          <t>914</t>
        </is>
      </c>
      <c r="H35" s="4" t="inlineStr">
        <is>
          <t>Nonfiction</t>
        </is>
      </c>
      <c r="I35" s="4" t="inlineStr">
        <is>
          <t>Criticism</t>
        </is>
      </c>
      <c r="J35" s="4" t="inlineStr">
        <is>
          <t>文語</t>
        </is>
      </c>
      <c r="K35" s="4" t="inlineStr">
        <is>
          <t>M</t>
        </is>
      </c>
      <c r="L35" s="4" t="inlineStr">
        <is>
          <t>明治期批評文</t>
        </is>
      </c>
      <c r="M35" s="4" t="inlineStr">
        <is>
          <t>公開中</t>
        </is>
      </c>
      <c r="N35" s="4" t="inlineStr"/>
      <c r="O35" s="4" t="inlineStr">
        <is>
          <t>—</t>
        </is>
      </c>
      <c r="P35" s="7" t="inlineStr">
        <is>
          <t>収録済</t>
        </is>
      </c>
    </row>
    <row r="36">
      <c r="A36" s="4" t="n">
        <v>3</v>
      </c>
      <c r="B36" s="4" t="inlineStr">
        <is>
          <t>ジャンル</t>
        </is>
      </c>
      <c r="C36" s="4" t="inlineStr">
        <is>
          <t>寺田寅彦</t>
        </is>
      </c>
      <c r="D36" s="4" t="inlineStr">
        <is>
          <t>柿の種</t>
        </is>
      </c>
      <c r="E36" s="4" t="n">
        <v>1933</v>
      </c>
      <c r="F36" s="4" t="inlineStr">
        <is>
          <t>5_昭和戦前(1926-1944)</t>
        </is>
      </c>
      <c r="G36" s="4" t="inlineStr">
        <is>
          <t>914</t>
        </is>
      </c>
      <c r="H36" s="4" t="inlineStr">
        <is>
          <t>Nonfiction</t>
        </is>
      </c>
      <c r="I36" s="4" t="inlineStr">
        <is>
          <t>Science-Essay</t>
        </is>
      </c>
      <c r="J36" s="4" t="inlineStr">
        <is>
          <t>口語</t>
        </is>
      </c>
      <c r="K36" s="4" t="inlineStr">
        <is>
          <t>M</t>
        </is>
      </c>
      <c r="L36" s="4" t="inlineStr">
        <is>
          <t>科学随筆。専門語彙の対照群としてトピックモデルに有効</t>
        </is>
      </c>
      <c r="M36" s="4" t="inlineStr">
        <is>
          <t>公開中</t>
        </is>
      </c>
      <c r="N36" s="4" t="inlineStr"/>
      <c r="O36" s="4" t="inlineStr">
        <is>
          <t>—</t>
        </is>
      </c>
      <c r="P36" s="7" t="inlineStr">
        <is>
          <t>収録済</t>
        </is>
      </c>
    </row>
    <row r="37">
      <c r="A37" s="4" t="n">
        <v>3</v>
      </c>
      <c r="B37" s="4" t="inlineStr">
        <is>
          <t>ジャンル</t>
        </is>
      </c>
      <c r="C37" s="4" t="inlineStr">
        <is>
          <t>岡本綺堂</t>
        </is>
      </c>
      <c r="D37" s="4" t="inlineStr">
        <is>
          <t>修禅寺物語</t>
        </is>
      </c>
      <c r="E37" s="4" t="n">
        <v>1911</v>
      </c>
      <c r="F37" s="4" t="inlineStr">
        <is>
          <t>3_明治後期(1900-1911)</t>
        </is>
      </c>
      <c r="G37" s="4" t="inlineStr">
        <is>
          <t>912</t>
        </is>
      </c>
      <c r="H37" s="4" t="inlineStr">
        <is>
          <t>Fiction</t>
        </is>
      </c>
      <c r="I37" s="4" t="inlineStr">
        <is>
          <t>Drama</t>
        </is>
      </c>
      <c r="J37" s="4" t="inlineStr">
        <is>
          <t>過渡</t>
        </is>
      </c>
      <c r="K37" s="4" t="inlineStr">
        <is>
          <t>M</t>
        </is>
      </c>
      <c r="L37" s="4" t="inlineStr">
        <is>
          <t>戯曲かつ綺堂の文体内変異（小説 vs 戯曲）の統制</t>
        </is>
      </c>
      <c r="M37" s="4" t="inlineStr">
        <is>
          <t>公開中</t>
        </is>
      </c>
      <c r="N37" s="4" t="inlineStr"/>
      <c r="O37" s="4" t="inlineStr">
        <is>
          <t>—</t>
        </is>
      </c>
      <c r="P37" s="7" t="inlineStr">
        <is>
          <t>収録済</t>
        </is>
      </c>
    </row>
    <row r="38">
      <c r="A38" s="4" t="n">
        <v>3</v>
      </c>
      <c r="B38" s="4" t="inlineStr">
        <is>
          <t>ジャンル</t>
        </is>
      </c>
      <c r="C38" s="4" t="inlineStr">
        <is>
          <t>柳田国男</t>
        </is>
      </c>
      <c r="D38" s="4" t="inlineStr">
        <is>
          <t>遠野物語</t>
        </is>
      </c>
      <c r="E38" s="4" t="n">
        <v>1910</v>
      </c>
      <c r="F38" s="4" t="inlineStr">
        <is>
          <t>3_明治後期(1900-1911)</t>
        </is>
      </c>
      <c r="G38" s="4" t="inlineStr">
        <is>
          <t>388</t>
        </is>
      </c>
      <c r="H38" s="4" t="inlineStr">
        <is>
          <t>Nonfiction</t>
        </is>
      </c>
      <c r="I38" s="4" t="inlineStr">
        <is>
          <t>Ethnography</t>
        </is>
      </c>
      <c r="J38" s="4" t="inlineStr">
        <is>
          <t>文語</t>
        </is>
      </c>
      <c r="K38" s="4" t="inlineStr">
        <is>
          <t>M</t>
        </is>
      </c>
      <c r="L38" s="4" t="inlineStr">
        <is>
          <t>民俗誌。学術散文という未収録のジャンル</t>
        </is>
      </c>
      <c r="M38" s="4" t="inlineStr">
        <is>
          <t>公開中</t>
        </is>
      </c>
      <c r="N38" s="4" t="inlineStr"/>
      <c r="O38" s="4" t="inlineStr">
        <is>
          <t>—</t>
        </is>
      </c>
      <c r="P38" s="7" t="inlineStr">
        <is>
          <t>収録済</t>
        </is>
      </c>
    </row>
    <row r="39">
      <c r="A39" s="4" t="n">
        <v>3</v>
      </c>
      <c r="B39" s="4" t="inlineStr">
        <is>
          <t>ジャンル</t>
        </is>
      </c>
      <c r="C39" s="4" t="inlineStr">
        <is>
          <t>森鴎外</t>
        </is>
      </c>
      <c r="D39" s="4" t="inlineStr">
        <is>
          <t>即興詩人</t>
        </is>
      </c>
      <c r="E39" s="4" t="n">
        <v>1892</v>
      </c>
      <c r="F39" s="4" t="inlineStr">
        <is>
          <t>2_明治中期(1887-1899)</t>
        </is>
      </c>
      <c r="G39" s="4" t="inlineStr">
        <is>
          <t>973</t>
        </is>
      </c>
      <c r="H39" s="4" t="inlineStr">
        <is>
          <t>Fiction</t>
        </is>
      </c>
      <c r="I39" s="4" t="inlineStr">
        <is>
          <t>Translation</t>
        </is>
      </c>
      <c r="J39" s="4" t="inlineStr">
        <is>
          <t>文語</t>
        </is>
      </c>
      <c r="K39" s="4" t="inlineStr">
        <is>
          <t>M</t>
        </is>
      </c>
      <c r="L39" s="4" t="inlineStr">
        <is>
          <t>雅文体翻訳。鴎外の文体幅を測る内部対照</t>
        </is>
      </c>
      <c r="M39" s="4" t="inlineStr">
        <is>
          <t>公開中</t>
        </is>
      </c>
      <c r="N39" s="4" t="inlineStr"/>
      <c r="O39" s="4" t="inlineStr">
        <is>
          <t>—</t>
        </is>
      </c>
      <c r="P39" s="7" t="inlineStr">
        <is>
          <t>収録済</t>
        </is>
      </c>
    </row>
    <row r="40">
      <c r="A40" s="4" t="n">
        <v>3</v>
      </c>
      <c r="B40" s="4" t="inlineStr">
        <is>
          <t>ジャンル</t>
        </is>
      </c>
      <c r="C40" s="4" t="inlineStr">
        <is>
          <t>永井荷風</t>
        </is>
      </c>
      <c r="D40" s="4" t="inlineStr">
        <is>
          <t>日和下駄</t>
        </is>
      </c>
      <c r="E40" s="4" t="n">
        <v>1915</v>
      </c>
      <c r="F40" s="4" t="inlineStr">
        <is>
          <t>4_大正(1912-1925)</t>
        </is>
      </c>
      <c r="G40" s="4" t="inlineStr">
        <is>
          <t>914</t>
        </is>
      </c>
      <c r="H40" s="4" t="inlineStr">
        <is>
          <t>Nonfiction</t>
        </is>
      </c>
      <c r="I40" s="4" t="inlineStr">
        <is>
          <t>Sketch-Essay</t>
        </is>
      </c>
      <c r="J40" s="4" t="inlineStr">
        <is>
          <t>口語</t>
        </is>
      </c>
      <c r="K40" s="4" t="inlineStr">
        <is>
          <t>M</t>
        </is>
      </c>
      <c r="L40" s="4" t="inlineStr">
        <is>
          <t>大正期随筆の代表。随筆は現行2点のみ</t>
        </is>
      </c>
      <c r="M40" s="4" t="inlineStr">
        <is>
          <t>公開中</t>
        </is>
      </c>
      <c r="N40" s="4" t="inlineStr"/>
      <c r="O40" s="4" t="inlineStr">
        <is>
          <t>副題「一名 東京散策記」つき</t>
        </is>
      </c>
      <c r="P40" s="7" t="inlineStr">
        <is>
          <t>収録済</t>
        </is>
      </c>
    </row>
    <row r="41">
      <c r="A41" s="4" t="n">
        <v>3</v>
      </c>
      <c r="B41" s="4" t="inlineStr">
        <is>
          <t>ジャンル</t>
        </is>
      </c>
      <c r="C41" s="4" t="inlineStr">
        <is>
          <t>石川啄木</t>
        </is>
      </c>
      <c r="D41" s="4" t="inlineStr">
        <is>
          <t>時代閉塞の現状</t>
        </is>
      </c>
      <c r="E41" s="4" t="n">
        <v>1910</v>
      </c>
      <c r="F41" s="4" t="inlineStr">
        <is>
          <t>3_明治後期(1900-1911)</t>
        </is>
      </c>
      <c r="G41" s="4" t="inlineStr">
        <is>
          <t>914</t>
        </is>
      </c>
      <c r="H41" s="4" t="inlineStr">
        <is>
          <t>Nonfiction</t>
        </is>
      </c>
      <c r="I41" s="4" t="inlineStr">
        <is>
          <t>Criticism</t>
        </is>
      </c>
      <c r="J41" s="4" t="inlineStr">
        <is>
          <t>口語</t>
        </is>
      </c>
      <c r="K41" s="4" t="inlineStr">
        <is>
          <t>M</t>
        </is>
      </c>
      <c r="L41" s="4" t="inlineStr">
        <is>
          <t>評論かつ1点のみの作家の補強</t>
        </is>
      </c>
      <c r="M41" s="4" t="inlineStr">
        <is>
          <t>公開中</t>
        </is>
      </c>
      <c r="N41" s="4" t="inlineStr"/>
      <c r="O41" s="4" t="inlineStr">
        <is>
          <t>—</t>
        </is>
      </c>
      <c r="P41" s="7" t="inlineStr">
        <is>
          <t>収録済</t>
        </is>
      </c>
    </row>
    <row r="42">
      <c r="A42" s="4" t="n">
        <v>3</v>
      </c>
      <c r="B42" s="4" t="inlineStr">
        <is>
          <t>ジャンル</t>
        </is>
      </c>
      <c r="C42" s="4" t="inlineStr">
        <is>
          <t>菊池寛</t>
        </is>
      </c>
      <c r="D42" s="4" t="inlineStr">
        <is>
          <t>父帰る</t>
        </is>
      </c>
      <c r="E42" s="4" t="n">
        <v>1917</v>
      </c>
      <c r="F42" s="4" t="inlineStr">
        <is>
          <t>4_大正(1912-1925)</t>
        </is>
      </c>
      <c r="G42" s="4" t="inlineStr">
        <is>
          <t>912</t>
        </is>
      </c>
      <c r="H42" s="4" t="inlineStr">
        <is>
          <t>Fiction</t>
        </is>
      </c>
      <c r="I42" s="4" t="inlineStr">
        <is>
          <t>Drama</t>
        </is>
      </c>
      <c r="J42" s="4" t="inlineStr">
        <is>
          <t>口語</t>
        </is>
      </c>
      <c r="K42" s="4" t="inlineStr">
        <is>
          <t>M</t>
        </is>
      </c>
      <c r="L42" s="4" t="inlineStr">
        <is>
          <t>戯曲。現行コーパスにゼロ。会話文比率の極値として重要</t>
        </is>
      </c>
      <c r="M42" s="4" t="inlineStr">
        <is>
          <t>公開中</t>
        </is>
      </c>
      <c r="N42" s="4" t="inlineStr"/>
      <c r="O42" s="4" t="inlineStr">
        <is>
          <t>—</t>
        </is>
      </c>
      <c r="P42" s="7" t="inlineStr">
        <is>
          <t>収録済</t>
        </is>
      </c>
    </row>
    <row r="43">
      <c r="A43" s="4" t="n">
        <v>3</v>
      </c>
      <c r="B43" s="4" t="inlineStr">
        <is>
          <t>ジャンル</t>
        </is>
      </c>
      <c r="C43" s="4" t="inlineStr">
        <is>
          <t>岸田国士</t>
        </is>
      </c>
      <c r="D43" s="4" t="inlineStr">
        <is>
          <t>紙風船</t>
        </is>
      </c>
      <c r="E43" s="4" t="n">
        <v>1925</v>
      </c>
      <c r="F43" s="4" t="inlineStr">
        <is>
          <t>4_大正(1912-1925)</t>
        </is>
      </c>
      <c r="G43" s="4" t="inlineStr">
        <is>
          <t>912</t>
        </is>
      </c>
      <c r="H43" s="4" t="inlineStr">
        <is>
          <t>Fiction</t>
        </is>
      </c>
      <c r="I43" s="4" t="inlineStr">
        <is>
          <t>Drama</t>
        </is>
      </c>
      <c r="J43" s="4" t="inlineStr">
        <is>
          <t>口語</t>
        </is>
      </c>
      <c r="K43" s="4" t="inlineStr">
        <is>
          <t>M</t>
        </is>
      </c>
      <c r="L43" s="4" t="inlineStr">
        <is>
          <t>大正期の口語戯曲</t>
        </is>
      </c>
      <c r="M43" s="4" t="inlineStr">
        <is>
          <t>要改称</t>
        </is>
      </c>
      <c r="N43" s="4" t="inlineStr">
        <is>
          <t>52082</t>
        </is>
      </c>
      <c r="O43" s="4" t="inlineStr">
        <is>
          <t>正式な作品名は『紙風船（一幕）』。NDC 912、新字旧仮名、初出1925年</t>
        </is>
      </c>
      <c r="P43" s="7" t="inlineStr">
        <is>
          <t>収録済</t>
        </is>
      </c>
    </row>
    <row r="44">
      <c r="A44" s="4" t="n">
        <v>4</v>
      </c>
      <c r="B44" s="4" t="inlineStr">
        <is>
          <t>作家平準化</t>
        </is>
      </c>
      <c r="C44" s="4" t="inlineStr">
        <is>
          <t>中島敦</t>
        </is>
      </c>
      <c r="D44" s="4" t="inlineStr">
        <is>
          <t>山月記</t>
        </is>
      </c>
      <c r="E44" s="4" t="n">
        <v>1942</v>
      </c>
      <c r="F44" s="4" t="inlineStr">
        <is>
          <t>5_昭和戦前(1926-1944)</t>
        </is>
      </c>
      <c r="G44" s="4" t="inlineStr">
        <is>
          <t>913</t>
        </is>
      </c>
      <c r="H44" s="4" t="inlineStr">
        <is>
          <t>Fiction</t>
        </is>
      </c>
      <c r="I44" s="4" t="inlineStr">
        <is>
          <t>Historical</t>
        </is>
      </c>
      <c r="J44" s="4" t="inlineStr">
        <is>
          <t>口語</t>
        </is>
      </c>
      <c r="K44" s="4" t="inlineStr">
        <is>
          <t>M</t>
        </is>
      </c>
      <c r="L44" s="4" t="inlineStr">
        <is>
          <t>1点のみの作家。漢文脈の濃い短篇</t>
        </is>
      </c>
      <c r="M44" s="4" t="inlineStr">
        <is>
          <t>公開中</t>
        </is>
      </c>
      <c r="N44" s="4" t="inlineStr"/>
      <c r="O44" s="4" t="inlineStr">
        <is>
          <t>—</t>
        </is>
      </c>
      <c r="P44" s="7" t="inlineStr">
        <is>
          <t>収録済</t>
        </is>
      </c>
    </row>
    <row r="45">
      <c r="A45" s="4" t="n">
        <v>4</v>
      </c>
      <c r="B45" s="4" t="inlineStr">
        <is>
          <t>作家平準化</t>
        </is>
      </c>
      <c r="C45" s="4" t="inlineStr">
        <is>
          <t>中島敦</t>
        </is>
      </c>
      <c r="D45" s="4" t="inlineStr">
        <is>
          <t>李陵</t>
        </is>
      </c>
      <c r="E45" s="4" t="n">
        <v>1943</v>
      </c>
      <c r="F45" s="4" t="inlineStr">
        <is>
          <t>5_昭和戦前(1926-1944)</t>
        </is>
      </c>
      <c r="G45" s="4" t="inlineStr">
        <is>
          <t>913</t>
        </is>
      </c>
      <c r="H45" s="4" t="inlineStr">
        <is>
          <t>Fiction</t>
        </is>
      </c>
      <c r="I45" s="4" t="inlineStr">
        <is>
          <t>Historical</t>
        </is>
      </c>
      <c r="J45" s="4" t="inlineStr">
        <is>
          <t>口語</t>
        </is>
      </c>
      <c r="K45" s="4" t="inlineStr">
        <is>
          <t>M</t>
        </is>
      </c>
      <c r="L45" s="4" t="inlineStr">
        <is>
          <t>同上</t>
        </is>
      </c>
      <c r="M45" s="4" t="inlineStr">
        <is>
          <t>公開中</t>
        </is>
      </c>
      <c r="N45" s="4" t="inlineStr"/>
      <c r="O45" s="4" t="inlineStr">
        <is>
          <t>—</t>
        </is>
      </c>
      <c r="P45" s="7" t="inlineStr">
        <is>
          <t>収録済</t>
        </is>
      </c>
    </row>
    <row r="46">
      <c r="A46" s="4" t="n">
        <v>4</v>
      </c>
      <c r="B46" s="4" t="inlineStr">
        <is>
          <t>作家平準化</t>
        </is>
      </c>
      <c r="C46" s="4" t="inlineStr">
        <is>
          <t>太宰治</t>
        </is>
      </c>
      <c r="D46" s="4" t="inlineStr">
        <is>
          <t>津軽</t>
        </is>
      </c>
      <c r="E46" s="4" t="n">
        <v>1944</v>
      </c>
      <c r="F46" s="4" t="inlineStr">
        <is>
          <t>5_昭和戦前(1926-1944)</t>
        </is>
      </c>
      <c r="G46" s="4" t="inlineStr">
        <is>
          <t>915</t>
        </is>
      </c>
      <c r="H46" s="4" t="inlineStr">
        <is>
          <t>Nonfiction</t>
        </is>
      </c>
      <c r="I46" s="4" t="inlineStr">
        <is>
          <t>Travel</t>
        </is>
      </c>
      <c r="J46" s="4" t="inlineStr">
        <is>
          <t>口語</t>
        </is>
      </c>
      <c r="K46" s="4" t="inlineStr">
        <is>
          <t>M</t>
        </is>
      </c>
      <c r="L46" s="4" t="inlineStr">
        <is>
          <t>太宰の非小説。紀行ジャンルの補強</t>
        </is>
      </c>
      <c r="M46" s="4" t="inlineStr">
        <is>
          <t>公開中</t>
        </is>
      </c>
      <c r="N46" s="4" t="inlineStr"/>
      <c r="O46" s="4" t="inlineStr">
        <is>
          <t>—</t>
        </is>
      </c>
      <c r="P46" s="7" t="inlineStr">
        <is>
          <t>収録済</t>
        </is>
      </c>
    </row>
    <row r="47">
      <c r="A47" s="4" t="n">
        <v>4</v>
      </c>
      <c r="B47" s="4" t="inlineStr">
        <is>
          <t>作家平準化</t>
        </is>
      </c>
      <c r="C47" s="4" t="inlineStr">
        <is>
          <t>室生犀星</t>
        </is>
      </c>
      <c r="D47" s="4" t="inlineStr">
        <is>
          <t>性に眼覚める頃</t>
        </is>
      </c>
      <c r="E47" s="4" t="n">
        <v>1919</v>
      </c>
      <c r="F47" s="4" t="inlineStr">
        <is>
          <t>4_大正(1912-1925)</t>
        </is>
      </c>
      <c r="G47" s="4" t="inlineStr">
        <is>
          <t>913</t>
        </is>
      </c>
      <c r="H47" s="4" t="inlineStr">
        <is>
          <t>Fiction</t>
        </is>
      </c>
      <c r="I47" s="4" t="inlineStr">
        <is>
          <t>Modern</t>
        </is>
      </c>
      <c r="J47" s="4" t="inlineStr">
        <is>
          <t>口語</t>
        </is>
      </c>
      <c r="K47" s="4" t="inlineStr">
        <is>
          <t>M</t>
        </is>
      </c>
      <c r="L47" s="4" t="inlineStr">
        <is>
          <t>1点のみの作家。『蜜のあわれ』(1959)との40年の文体差が測れる</t>
        </is>
      </c>
      <c r="M47" s="4" t="inlineStr">
        <is>
          <t>公開中</t>
        </is>
      </c>
      <c r="N47" s="4" t="inlineStr">
        <is>
          <t>53012</t>
        </is>
      </c>
      <c r="O47" s="4" t="inlineStr">
        <is>
          <t>—</t>
        </is>
      </c>
      <c r="P47" s="7" t="inlineStr">
        <is>
          <t>収録済</t>
        </is>
      </c>
    </row>
    <row r="48">
      <c r="A48" s="4" t="n">
        <v>4</v>
      </c>
      <c r="B48" s="4" t="inlineStr">
        <is>
          <t>作家平準化</t>
        </is>
      </c>
      <c r="C48" s="4" t="inlineStr">
        <is>
          <t>室生犀星</t>
        </is>
      </c>
      <c r="D48" s="4" t="inlineStr">
        <is>
          <t>幼年時代</t>
        </is>
      </c>
      <c r="E48" s="4" t="n">
        <v>1919</v>
      </c>
      <c r="F48" s="4" t="inlineStr">
        <is>
          <t>4_大正(1912-1925)</t>
        </is>
      </c>
      <c r="G48" s="4" t="inlineStr">
        <is>
          <t>913</t>
        </is>
      </c>
      <c r="H48" s="4" t="inlineStr">
        <is>
          <t>Fiction</t>
        </is>
      </c>
      <c r="I48" s="4" t="inlineStr">
        <is>
          <t>Modern</t>
        </is>
      </c>
      <c r="J48" s="4" t="inlineStr">
        <is>
          <t>口語</t>
        </is>
      </c>
      <c r="K48" s="4" t="inlineStr">
        <is>
          <t>M</t>
        </is>
      </c>
      <c r="L48" s="4" t="inlineStr">
        <is>
          <t>『あにいもうと』が未公開のための代替。『性に眼覚める頃』と同系列</t>
        </is>
      </c>
      <c r="M48" s="4" t="inlineStr">
        <is>
          <t>公開中</t>
        </is>
      </c>
      <c r="N48" s="4" t="inlineStr"/>
      <c r="O48" s="4" t="inlineStr">
        <is>
          <t>—</t>
        </is>
      </c>
      <c r="P48" s="7" t="inlineStr">
        <is>
          <t>収録済</t>
        </is>
      </c>
    </row>
    <row r="49">
      <c r="A49" s="4" t="n">
        <v>4</v>
      </c>
      <c r="B49" s="4" t="inlineStr">
        <is>
          <t>作家平準化</t>
        </is>
      </c>
      <c r="C49" s="4" t="inlineStr">
        <is>
          <t>徳冨蘆花</t>
        </is>
      </c>
      <c r="D49" s="4" t="inlineStr">
        <is>
          <t>みみずのたはこと</t>
        </is>
      </c>
      <c r="E49" s="4" t="n">
        <v>1913</v>
      </c>
      <c r="F49" s="4" t="inlineStr">
        <is>
          <t>4_大正(1912-1925)</t>
        </is>
      </c>
      <c r="G49" s="4" t="inlineStr">
        <is>
          <t>914</t>
        </is>
      </c>
      <c r="H49" s="4" t="inlineStr">
        <is>
          <t>Nonfiction</t>
        </is>
      </c>
      <c r="I49" s="4" t="inlineStr">
        <is>
          <t>Sketch-Essay</t>
        </is>
      </c>
      <c r="J49" s="4" t="inlineStr">
        <is>
          <t>口語</t>
        </is>
      </c>
      <c r="K49" s="4" t="inlineStr">
        <is>
          <t>M</t>
        </is>
      </c>
      <c r="L49" s="4" t="inlineStr">
        <is>
          <t>同上。『不如帰』(1898)との文体差が測れる</t>
        </is>
      </c>
      <c r="M49" s="4" t="inlineStr">
        <is>
          <t>公開中</t>
        </is>
      </c>
      <c r="N49" s="4" t="inlineStr">
        <is>
          <t>1704</t>
        </is>
      </c>
      <c r="O49" s="4" t="inlineStr">
        <is>
          <t>—</t>
        </is>
      </c>
      <c r="P49" s="7" t="inlineStr">
        <is>
          <t>収録済</t>
        </is>
      </c>
    </row>
    <row r="50">
      <c r="A50" s="4" t="n">
        <v>4</v>
      </c>
      <c r="B50" s="4" t="inlineStr">
        <is>
          <t>作家平準化</t>
        </is>
      </c>
      <c r="C50" s="4" t="inlineStr">
        <is>
          <t>石川啄木</t>
        </is>
      </c>
      <c r="D50" s="4" t="inlineStr">
        <is>
          <t>雲は天才である</t>
        </is>
      </c>
      <c r="E50" s="4" t="n">
        <v>1906</v>
      </c>
      <c r="F50" s="4" t="inlineStr">
        <is>
          <t>3_明治後期(1900-1911)</t>
        </is>
      </c>
      <c r="G50" s="4" t="inlineStr">
        <is>
          <t>913</t>
        </is>
      </c>
      <c r="H50" s="4" t="inlineStr">
        <is>
          <t>Fiction</t>
        </is>
      </c>
      <c r="I50" s="4" t="inlineStr">
        <is>
          <t>Modern</t>
        </is>
      </c>
      <c r="J50" s="4" t="inlineStr">
        <is>
          <t>過渡</t>
        </is>
      </c>
      <c r="K50" s="4" t="inlineStr">
        <is>
          <t>M</t>
        </is>
      </c>
      <c r="L50" s="4" t="inlineStr">
        <is>
          <t>同上</t>
        </is>
      </c>
      <c r="M50" s="4" t="inlineStr">
        <is>
          <t>公開中</t>
        </is>
      </c>
      <c r="N50" s="4" t="inlineStr"/>
      <c r="O50" s="4" t="inlineStr">
        <is>
          <t>—</t>
        </is>
      </c>
      <c r="P50" s="7" t="inlineStr">
        <is>
          <t>収録済</t>
        </is>
      </c>
    </row>
    <row r="51">
      <c r="A51" s="4" t="n">
        <v>4</v>
      </c>
      <c r="B51" s="4" t="inlineStr">
        <is>
          <t>作家平準化</t>
        </is>
      </c>
      <c r="C51" s="4" t="inlineStr">
        <is>
          <t>芥川竜之介</t>
        </is>
      </c>
      <c r="D51" s="4" t="inlineStr">
        <is>
          <t>羅生門</t>
        </is>
      </c>
      <c r="E51" s="4" t="n">
        <v>1915</v>
      </c>
      <c r="F51" s="4" t="inlineStr">
        <is>
          <t>4_大正(1912-1925)</t>
        </is>
      </c>
      <c r="G51" s="4" t="inlineStr">
        <is>
          <t>913</t>
        </is>
      </c>
      <c r="H51" s="4" t="inlineStr">
        <is>
          <t>Fiction</t>
        </is>
      </c>
      <c r="I51" s="4" t="inlineStr">
        <is>
          <t>Historical</t>
        </is>
      </c>
      <c r="J51" s="4" t="inlineStr">
        <is>
          <t>口語</t>
        </is>
      </c>
      <c r="K51" s="4" t="inlineStr">
        <is>
          <t>M</t>
        </is>
      </c>
      <c r="L51" s="4" t="inlineStr">
        <is>
          <t>芥川2点のうち1点は評論。小説側を補強</t>
        </is>
      </c>
      <c r="M51" s="4" t="inlineStr">
        <is>
          <t>公開中</t>
        </is>
      </c>
      <c r="N51" s="4" t="inlineStr"/>
      <c r="O51" s="4" t="inlineStr">
        <is>
          <t>—</t>
        </is>
      </c>
      <c r="P51" s="7" t="inlineStr">
        <is>
          <t>収録済</t>
        </is>
      </c>
    </row>
    <row r="52">
      <c r="A52" s="4" t="n">
        <v>4</v>
      </c>
      <c r="B52" s="4" t="inlineStr">
        <is>
          <t>作家平準化</t>
        </is>
      </c>
      <c r="C52" s="4" t="inlineStr">
        <is>
          <t>芥川竜之介</t>
        </is>
      </c>
      <c r="D52" s="4" t="inlineStr">
        <is>
          <t>河童</t>
        </is>
      </c>
      <c r="E52" s="4" t="n">
        <v>1927</v>
      </c>
      <c r="F52" s="4" t="inlineStr">
        <is>
          <t>5_昭和戦前(1926-1944)</t>
        </is>
      </c>
      <c r="G52" s="4" t="inlineStr">
        <is>
          <t>913</t>
        </is>
      </c>
      <c r="H52" s="4" t="inlineStr">
        <is>
          <t>Fiction</t>
        </is>
      </c>
      <c r="I52" s="4" t="inlineStr">
        <is>
          <t>Satire</t>
        </is>
      </c>
      <c r="J52" s="4" t="inlineStr">
        <is>
          <t>口語</t>
        </is>
      </c>
      <c r="K52" s="4" t="inlineStr">
        <is>
          <t>M</t>
        </is>
      </c>
      <c r="L52" s="4" t="inlineStr">
        <is>
          <t>同上</t>
        </is>
      </c>
      <c r="M52" s="4" t="inlineStr">
        <is>
          <t>公開中</t>
        </is>
      </c>
      <c r="N52" s="4" t="inlineStr"/>
      <c r="O52" s="4" t="inlineStr">
        <is>
          <t>—</t>
        </is>
      </c>
      <c r="P52" s="7" t="inlineStr">
        <is>
          <t>収録済</t>
        </is>
      </c>
    </row>
    <row r="53">
      <c r="A53" s="4" t="n">
        <v>4</v>
      </c>
      <c r="B53" s="4" t="inlineStr">
        <is>
          <t>作家平準化</t>
        </is>
      </c>
      <c r="C53" s="4" t="inlineStr">
        <is>
          <t>室生犀星</t>
        </is>
      </c>
      <c r="D53" s="4" t="inlineStr">
        <is>
          <t>あにいもうと</t>
        </is>
      </c>
      <c r="E53" s="4" t="n">
        <v>1934</v>
      </c>
      <c r="F53" s="4" t="inlineStr">
        <is>
          <t>5_昭和戦前(1926-1944)</t>
        </is>
      </c>
      <c r="G53" s="4" t="inlineStr">
        <is>
          <t>913</t>
        </is>
      </c>
      <c r="H53" s="4" t="inlineStr">
        <is>
          <t>Fiction</t>
        </is>
      </c>
      <c r="I53" s="4" t="inlineStr">
        <is>
          <t>Modern</t>
        </is>
      </c>
      <c r="J53" s="4" t="inlineStr">
        <is>
          <t>口語</t>
        </is>
      </c>
      <c r="K53" s="4" t="inlineStr">
        <is>
          <t>M</t>
        </is>
      </c>
      <c r="L53" s="4" t="inlineStr">
        <is>
          <t>同上</t>
        </is>
      </c>
      <c r="M53" s="4" t="inlineStr">
        <is>
          <t>作業中</t>
        </is>
      </c>
      <c r="N53" s="4" t="inlineStr"/>
      <c r="O53" s="4" t="inlineStr">
        <is>
          <t>未公開。『幼年時代』で代替</t>
        </is>
      </c>
      <c r="P53" s="7" t="inlineStr">
        <is>
          <t>未収録</t>
        </is>
      </c>
    </row>
    <row r="54">
      <c r="A54" s="4" t="n">
        <v>5</v>
      </c>
      <c r="B54" s="4" t="inlineStr">
        <is>
          <t>欠落補完</t>
        </is>
      </c>
      <c r="C54" s="4" t="inlineStr">
        <is>
          <t>島崎藤村</t>
        </is>
      </c>
      <c r="D54" s="4" t="inlineStr">
        <is>
          <t>家（上）</t>
        </is>
      </c>
      <c r="E54" s="4" t="n">
        <v>1910</v>
      </c>
      <c r="F54" s="4" t="inlineStr">
        <is>
          <t>3_明治後期(1900-1911)</t>
        </is>
      </c>
      <c r="G54" s="4" t="inlineStr">
        <is>
          <t>913</t>
        </is>
      </c>
      <c r="H54" s="4" t="inlineStr">
        <is>
          <t>Fiction</t>
        </is>
      </c>
      <c r="I54" s="4" t="inlineStr">
        <is>
          <t>Modern</t>
        </is>
      </c>
      <c r="J54" s="4" t="inlineStr">
        <is>
          <t>口語</t>
        </is>
      </c>
      <c r="K54" s="4" t="inlineStr">
        <is>
          <t>M</t>
        </is>
      </c>
      <c r="L54" s="4" t="inlineStr">
        <is>
          <t>【必須】現行は下巻のみ。上巻(card1509)を追加して作品を完結させる</t>
        </is>
      </c>
      <c r="M54" s="4" t="inlineStr">
        <is>
          <t>公開中</t>
        </is>
      </c>
      <c r="N54" s="4" t="inlineStr">
        <is>
          <t>1509</t>
        </is>
      </c>
      <c r="O54" s="4" t="inlineStr">
        <is>
          <t>core として取得済み</t>
        </is>
      </c>
      <c r="P54" s="7" t="inlineStr">
        <is>
          <t>収録済</t>
        </is>
      </c>
    </row>
    <row r="55">
      <c r="A55" s="4" t="n">
        <v>5</v>
      </c>
      <c r="B55" s="4" t="inlineStr">
        <is>
          <t>欠落補完</t>
        </is>
      </c>
      <c r="C55" s="4" t="inlineStr">
        <is>
          <t>江戸川乱歩</t>
        </is>
      </c>
      <c r="D55" s="4" t="inlineStr">
        <is>
          <t>灰色の巨人</t>
        </is>
      </c>
      <c r="E55" s="4" t="n">
        <v>1955</v>
      </c>
      <c r="F55" s="4" t="inlineStr">
        <is>
          <t>6_昭和戦後(1945-)</t>
        </is>
      </c>
      <c r="G55" s="4" t="inlineStr">
        <is>
          <t>K913</t>
        </is>
      </c>
      <c r="H55" s="4" t="inlineStr">
        <is>
          <t>Fiction</t>
        </is>
      </c>
      <c r="I55" s="4" t="inlineStr">
        <is>
          <t>Juvenile-Mystery</t>
        </is>
      </c>
      <c r="J55" s="4" t="inlineStr">
        <is>
          <t>口語</t>
        </is>
      </c>
      <c r="K55" s="4" t="inlineStr">
        <is>
          <t>M</t>
        </is>
      </c>
      <c r="L55" s="4" t="inlineStr">
        <is>
          <t>【必須】現行ファイルが『魔法博士』の重複。本作を新規に取得する</t>
        </is>
      </c>
      <c r="M55" s="4" t="inlineStr">
        <is>
          <t>公開中</t>
        </is>
      </c>
      <c r="N55" s="4" t="inlineStr">
        <is>
          <t>56676</t>
        </is>
      </c>
      <c r="O55" s="4" t="inlineStr">
        <is>
          <t>core として取得済み</t>
        </is>
      </c>
      <c r="P55" s="7" t="inlineStr">
        <is>
          <t>収録済</t>
        </is>
      </c>
    </row>
    <row r="56">
      <c r="A56" s="4" t="n">
        <v>1</v>
      </c>
      <c r="B56" s="4" t="inlineStr">
        <is>
          <t>明治前期</t>
        </is>
      </c>
      <c r="C56" s="4" t="inlineStr">
        <is>
          <t>三遊亭円朝</t>
        </is>
      </c>
      <c r="D56" s="4" t="inlineStr">
        <is>
          <t>怪談牡丹灯籠</t>
        </is>
      </c>
      <c r="E56" s="4" t="n">
        <v>1884</v>
      </c>
      <c r="F56" s="4" t="inlineStr">
        <is>
          <t>1_明治前期(〜1886)</t>
        </is>
      </c>
      <c r="G56" s="4" t="inlineStr">
        <is>
          <t>779 913</t>
        </is>
      </c>
      <c r="H56" s="4" t="inlineStr">
        <is>
          <t>Fiction</t>
        </is>
      </c>
      <c r="I56" s="4" t="inlineStr">
        <is>
          <t>Ghost-Story</t>
        </is>
      </c>
      <c r="J56" s="4" t="inlineStr">
        <is>
          <t>C_口語体</t>
        </is>
      </c>
      <c r="K56" s="4" t="inlineStr">
        <is>
          <t>M</t>
        </is>
      </c>
      <c r="L56" s="4" t="inlineStr">
        <is>
          <t>明治前期の Fiction が皆無。口演速記は言文一致の直接の源流で，二葉亭『浮雲』の前史として要る</t>
        </is>
      </c>
      <c r="M56" s="4" t="inlineStr">
        <is>
          <t>公開中</t>
        </is>
      </c>
      <c r="N56" s="4" t="inlineStr">
        <is>
          <t>002577</t>
        </is>
      </c>
      <c r="O56" s="4" t="inlineStr">
        <is>
          <t>person_id 000989</t>
        </is>
      </c>
      <c r="P56" s="7" t="inlineStr">
        <is>
          <t>取得予定</t>
        </is>
      </c>
    </row>
    <row r="57">
      <c r="A57" s="4" t="n">
        <v>1</v>
      </c>
      <c r="B57" s="4" t="inlineStr">
        <is>
          <t>明治前期</t>
        </is>
      </c>
      <c r="C57" s="4" t="inlineStr">
        <is>
          <t>三遊亭円朝</t>
        </is>
      </c>
      <c r="D57" s="4" t="inlineStr">
        <is>
          <t>真景累ヶ淵</t>
        </is>
      </c>
      <c r="E57" s="4" t="n">
        <v>1888</v>
      </c>
      <c r="F57" s="4" t="inlineStr">
        <is>
          <t>2_明治中期(1887-1899)</t>
        </is>
      </c>
      <c r="G57" s="4" t="inlineStr">
        <is>
          <t>779 913</t>
        </is>
      </c>
      <c r="H57" s="4" t="inlineStr">
        <is>
          <t>Fiction</t>
        </is>
      </c>
      <c r="I57" s="4" t="inlineStr">
        <is>
          <t>Ghost-Story</t>
        </is>
      </c>
      <c r="J57" s="4" t="inlineStr">
        <is>
          <t>C_口語体</t>
        </is>
      </c>
      <c r="K57" s="4" t="inlineStr">
        <is>
          <t>M</t>
        </is>
      </c>
      <c r="L57" s="4" t="inlineStr">
        <is>
          <t>同上。速記口演体の最長篇。『浮雲』(1887)とほぼ同時期で直接比較できる</t>
        </is>
      </c>
      <c r="M57" s="4" t="inlineStr">
        <is>
          <t>公開中</t>
        </is>
      </c>
      <c r="N57" s="4" t="inlineStr">
        <is>
          <t>000350</t>
        </is>
      </c>
      <c r="O57" s="4" t="inlineStr">
        <is>
          <t>person_id 000989</t>
        </is>
      </c>
      <c r="P57" s="7" t="inlineStr">
        <is>
          <t>取得予定</t>
        </is>
      </c>
    </row>
    <row r="58">
      <c r="A58" s="4" t="n">
        <v>1</v>
      </c>
      <c r="B58" s="4" t="inlineStr">
        <is>
          <t>長篇補強</t>
        </is>
      </c>
      <c r="C58" s="4" t="inlineStr">
        <is>
          <t>泉鏡花</t>
        </is>
      </c>
      <c r="D58" s="4" t="inlineStr">
        <is>
          <t>婦系図</t>
        </is>
      </c>
      <c r="E58" s="4" t="n">
        <v>1907</v>
      </c>
      <c r="F58" s="4" t="inlineStr">
        <is>
          <t>3_明治後期(1900-1911)</t>
        </is>
      </c>
      <c r="G58" s="4" t="inlineStr">
        <is>
          <t>913</t>
        </is>
      </c>
      <c r="H58" s="4" t="inlineStr">
        <is>
          <t>Fiction</t>
        </is>
      </c>
      <c r="I58" s="4" t="inlineStr">
        <is>
          <t>Aesthetic</t>
        </is>
      </c>
      <c r="J58" s="4" t="inlineStr">
        <is>
          <t>B_過渡的文体</t>
        </is>
      </c>
      <c r="K58" s="4" t="inlineStr">
        <is>
          <t>M</t>
        </is>
      </c>
      <c r="L58" s="4" t="inlineStr">
        <is>
          <t>反自然主義・雅俗折衷体。明治後期が自然主義に偏るのを是正する。鏡花は未収録</t>
        </is>
      </c>
      <c r="M58" s="4" t="inlineStr">
        <is>
          <t>公開中</t>
        </is>
      </c>
      <c r="N58" s="4" t="inlineStr">
        <is>
          <t>001087</t>
        </is>
      </c>
      <c r="O58" s="4" t="inlineStr">
        <is>
          <t>person_id 000050</t>
        </is>
      </c>
      <c r="P58" s="7" t="inlineStr">
        <is>
          <t>取得予定</t>
        </is>
      </c>
    </row>
    <row r="59">
      <c r="A59" s="4" t="n">
        <v>1</v>
      </c>
      <c r="B59" s="4" t="inlineStr">
        <is>
          <t>長篇補強</t>
        </is>
      </c>
      <c r="C59" s="4" t="inlineStr">
        <is>
          <t>田山花袋</t>
        </is>
      </c>
      <c r="D59" s="4" t="inlineStr">
        <is>
          <t>田舎教師</t>
        </is>
      </c>
      <c r="E59" s="4" t="n">
        <v>1909</v>
      </c>
      <c r="F59" s="4" t="inlineStr">
        <is>
          <t>3_明治後期(1900-1911)</t>
        </is>
      </c>
      <c r="G59" s="4" t="inlineStr">
        <is>
          <t>913</t>
        </is>
      </c>
      <c r="H59" s="4" t="inlineStr">
        <is>
          <t>Fiction</t>
        </is>
      </c>
      <c r="I59" s="4" t="inlineStr">
        <is>
          <t>Naturalist</t>
        </is>
      </c>
      <c r="J59" s="4" t="inlineStr">
        <is>
          <t>C_口語体</t>
        </is>
      </c>
      <c r="K59" s="4" t="inlineStr">
        <is>
          <t>M</t>
        </is>
      </c>
      <c r="L59" s="4" t="inlineStr">
        <is>
          <t>自然主義の代表作。花袋は未収録</t>
        </is>
      </c>
      <c r="M59" s="4" t="inlineStr">
        <is>
          <t>公開中</t>
        </is>
      </c>
      <c r="N59" s="4" t="inlineStr">
        <is>
          <t>001668</t>
        </is>
      </c>
      <c r="O59" s="4" t="inlineStr">
        <is>
          <t>person_id 000214</t>
        </is>
      </c>
      <c r="P59" s="7" t="inlineStr">
        <is>
          <t>取得予定</t>
        </is>
      </c>
    </row>
    <row r="60">
      <c r="A60" s="4" t="n">
        <v>1</v>
      </c>
      <c r="B60" s="4" t="inlineStr">
        <is>
          <t>長篇補強</t>
        </is>
      </c>
      <c r="C60" s="4" t="inlineStr">
        <is>
          <t>長塚節</t>
        </is>
      </c>
      <c r="D60" s="4" t="inlineStr">
        <is>
          <t>土</t>
        </is>
      </c>
      <c r="E60" s="4" t="n">
        <v>1910</v>
      </c>
      <c r="F60" s="4" t="inlineStr">
        <is>
          <t>3_明治後期(1900-1911)</t>
        </is>
      </c>
      <c r="G60" s="4" t="inlineStr">
        <is>
          <t>913</t>
        </is>
      </c>
      <c r="H60" s="4" t="inlineStr">
        <is>
          <t>Fiction</t>
        </is>
      </c>
      <c r="I60" s="4" t="inlineStr">
        <is>
          <t>Naturalist</t>
        </is>
      </c>
      <c r="J60" s="4" t="inlineStr">
        <is>
          <t>C_口語体</t>
        </is>
      </c>
      <c r="K60" s="4" t="inlineStr">
        <is>
          <t>M</t>
        </is>
      </c>
      <c r="L60" s="4" t="inlineStr">
        <is>
          <t>農民の方言を写した写実。語彙の層が他と大きく違う。長塚節は未収録</t>
        </is>
      </c>
      <c r="M60" s="4" t="inlineStr">
        <is>
          <t>公開中</t>
        </is>
      </c>
      <c r="N60" s="4" t="inlineStr">
        <is>
          <t>001745</t>
        </is>
      </c>
      <c r="O60" s="4" t="inlineStr">
        <is>
          <t>person_id 000118</t>
        </is>
      </c>
      <c r="P60" s="7" t="inlineStr">
        <is>
          <t>取得予定</t>
        </is>
      </c>
    </row>
    <row r="61">
      <c r="A61" s="4" t="n">
        <v>1</v>
      </c>
      <c r="B61" s="4" t="inlineStr">
        <is>
          <t>長篇補強</t>
        </is>
      </c>
      <c r="C61" s="4" t="inlineStr">
        <is>
          <t>徳田秋声</t>
        </is>
      </c>
      <c r="D61" s="4" t="inlineStr">
        <is>
          <t>あらくれ</t>
        </is>
      </c>
      <c r="E61" s="4" t="n">
        <v>1915</v>
      </c>
      <c r="F61" s="4" t="inlineStr">
        <is>
          <t>4_大正(1912-1925)</t>
        </is>
      </c>
      <c r="G61" s="4" t="inlineStr">
        <is>
          <t>913</t>
        </is>
      </c>
      <c r="H61" s="4" t="inlineStr">
        <is>
          <t>Fiction</t>
        </is>
      </c>
      <c r="I61" s="4" t="inlineStr">
        <is>
          <t>Naturalist</t>
        </is>
      </c>
      <c r="J61" s="4" t="inlineStr">
        <is>
          <t>C_口語体</t>
        </is>
      </c>
      <c r="K61" s="4" t="inlineStr">
        <is>
          <t>M</t>
        </is>
      </c>
      <c r="L61" s="4" t="inlineStr">
        <is>
          <t>大正の長篇が薄い。秋声は未収録。女性主人公の長篇</t>
        </is>
      </c>
      <c r="M61" s="4" t="inlineStr">
        <is>
          <t>公開中</t>
        </is>
      </c>
      <c r="N61" s="4" t="inlineStr">
        <is>
          <t>000199</t>
        </is>
      </c>
      <c r="O61" s="4" t="inlineStr">
        <is>
          <t>person_id 000023</t>
        </is>
      </c>
      <c r="P61" s="7" t="inlineStr">
        <is>
          <t>取得予定</t>
        </is>
      </c>
    </row>
    <row r="62">
      <c r="A62" s="4" t="n">
        <v>1</v>
      </c>
      <c r="B62" s="4" t="inlineStr">
        <is>
          <t>長篇補強</t>
        </is>
      </c>
      <c r="C62" s="4" t="inlineStr">
        <is>
          <t>有島武郎</t>
        </is>
      </c>
      <c r="D62" s="4" t="inlineStr">
        <is>
          <t>或る女</t>
        </is>
      </c>
      <c r="E62" s="4" t="n">
        <v>1919</v>
      </c>
      <c r="F62" s="4" t="inlineStr">
        <is>
          <t>4_大正(1912-1925)</t>
        </is>
      </c>
      <c r="G62" s="4" t="inlineStr">
        <is>
          <t>913</t>
        </is>
      </c>
      <c r="H62" s="4" t="inlineStr">
        <is>
          <t>Fiction</t>
        </is>
      </c>
      <c r="I62" s="4" t="inlineStr">
        <is>
          <t>Modern</t>
        </is>
      </c>
      <c r="J62" s="4" t="inlineStr">
        <is>
          <t>C_口語体</t>
        </is>
      </c>
      <c r="K62" s="4" t="inlineStr">
        <is>
          <t>M</t>
        </is>
      </c>
      <c r="L62" s="4" t="inlineStr">
        <is>
          <t>白樺派。大正の長篇を補う。有島は未収録。女性主人公の長篇</t>
        </is>
      </c>
      <c r="M62" s="4" t="inlineStr">
        <is>
          <t>公開中</t>
        </is>
      </c>
      <c r="N62" s="4" t="inlineStr">
        <is>
          <t>000201</t>
        </is>
      </c>
      <c r="O62" s="4" t="inlineStr">
        <is>
          <t>person_id 000025</t>
        </is>
      </c>
      <c r="P62" s="7" t="inlineStr">
        <is>
          <t>取得予定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0" customWidth="1" min="2" max="2"/>
    <col width="80" customWidth="1" min="3" max="3"/>
  </cols>
  <sheetData>
    <row r="1" ht="30" customHeight="1">
      <c r="A1" s="3" t="inlineStr">
        <is>
          <t>列名</t>
        </is>
      </c>
      <c r="B1" s="3" t="inlineStr">
        <is>
          <t>説明</t>
        </is>
      </c>
      <c r="C1" s="3" t="inlineStr">
        <is>
          <t>統制語彙</t>
        </is>
      </c>
    </row>
    <row r="2">
      <c r="A2" s="7" t="inlineStr">
        <is>
          <t>id</t>
        </is>
      </c>
      <c r="B2" s="7" t="inlineStr">
        <is>
          <t>作品の一意識別子。JLIT001–064。以後この ID で参照する</t>
        </is>
      </c>
      <c r="C2" s="7" t="inlineStr"/>
    </row>
    <row r="3">
      <c r="A3" s="7" t="inlineStr">
        <is>
          <t>file_v1</t>
        </is>
      </c>
      <c r="B3" s="7" t="inlineStr">
        <is>
          <t>v1 コーパスにおけるファイル名（対応確認用）</t>
        </is>
      </c>
      <c r="C3" s="7" t="inlineStr"/>
    </row>
    <row r="4">
      <c r="A4" s="7" t="inlineStr">
        <is>
          <t>author_ja / author_reading / author_sex / author_birth / author_death</t>
        </is>
      </c>
      <c r="B4" s="7" t="inlineStr">
        <is>
          <t>著者情報。sex は F / M</t>
        </is>
      </c>
      <c r="C4" s="7" t="inlineStr"/>
    </row>
    <row r="5">
      <c r="A5" s="7" t="inlineStr">
        <is>
          <t>title_aozora</t>
        </is>
      </c>
      <c r="B5" s="7" t="inlineStr">
        <is>
          <t>青空文庫の作品名欄どおりの表記。v1 の通称ではなくこちらを正とする</t>
        </is>
      </c>
      <c r="C5" s="7" t="inlineStr"/>
    </row>
    <row r="6">
      <c r="A6" s="7" t="inlineStr">
        <is>
          <t>aozora_person_id / aozora_work_id / aozora_card_url</t>
        </is>
      </c>
      <c r="B6" s="7" t="inlineStr">
        <is>
          <t>青空文庫の人物 ID・作品 ID・図書カード URL。再取得と検証の鍵</t>
        </is>
      </c>
      <c r="C6" s="7" t="inlineStr"/>
    </row>
    <row r="7">
      <c r="A7" s="7" t="inlineStr">
        <is>
          <t>year_first / year_first_end</t>
        </is>
      </c>
      <c r="B7" s="7" t="inlineStr">
        <is>
          <t>初出の開始年と終了年。単発なら同値</t>
        </is>
      </c>
      <c r="C7" s="7" t="inlineStr"/>
    </row>
    <row r="8">
      <c r="A8" s="7" t="inlineStr">
        <is>
          <t>year_source</t>
        </is>
      </c>
      <c r="B8" s="7" t="inlineStr">
        <is>
          <t>card＝青空文庫図書カードの記載どおり／editor＝カードに記載がなく編者が補った。editor 行は要確認</t>
        </is>
      </c>
      <c r="C8" s="7" t="inlineStr">
        <is>
          <t>card / editor</t>
        </is>
      </c>
    </row>
    <row r="9">
      <c r="A9" s="7" t="inlineStr">
        <is>
          <t>period</t>
        </is>
      </c>
      <c r="B9" s="7" t="inlineStr">
        <is>
          <t>初出年の文学史的区分（6区分）</t>
        </is>
      </c>
      <c r="C9" s="7" t="inlineStr">
        <is>
          <t>1_明治前期 / 2_明治中期 / 3_明治後期 / 4_大正 / 5_昭和戦前 / 6_昭和戦後</t>
        </is>
      </c>
    </row>
    <row r="10">
      <c r="A10" s="7" t="inlineStr">
        <is>
          <t>ndc / ndc_label</t>
        </is>
      </c>
      <c r="B10" s="7" t="inlineStr">
        <is>
          <t>NDC 番号とその日本語ラベル。K 接頭辞は児童書</t>
        </is>
      </c>
      <c r="C10" s="7" t="inlineStr">
        <is>
          <t>913 / K913 / 914 / 915 / 289 / 370 / 180</t>
        </is>
      </c>
    </row>
    <row r="11">
      <c r="A11" s="7" t="inlineStr">
        <is>
          <t>genre_main</t>
        </is>
      </c>
      <c r="B11" s="7" t="inlineStr">
        <is>
          <t>第1層ジャンル</t>
        </is>
      </c>
      <c r="C11" s="7" t="inlineStr">
        <is>
          <t>Fiction / Nonfiction</t>
        </is>
      </c>
    </row>
    <row r="12">
      <c r="A12" s="7" t="inlineStr">
        <is>
          <t>genre_sub</t>
        </is>
      </c>
      <c r="B12" s="7" t="inlineStr">
        <is>
          <t>第2層ジャンル（統制語彙）</t>
        </is>
      </c>
      <c r="C12" s="7" t="inlineStr">
        <is>
          <t>Modern, Historical, Detective, Ghost-Story, SF, Juvenile-SF, Juvenile-Mystery, Proletarian, Naturalist, Bildungsroman, Melodrama, Aesthetic, Experimental, Detective-Edo, Historical-Fantasy, Historical-Biography, Autobiography, Autobiographical-Diary, Diary, Criticism, Sketch-Essay, Enlightenment-Didactic, Religious-Didactic</t>
        </is>
      </c>
    </row>
    <row r="13">
      <c r="A13" s="7" t="inlineStr">
        <is>
          <t>form</t>
        </is>
      </c>
      <c r="B13" s="7" t="inlineStr">
        <is>
          <t>テクストの形態</t>
        </is>
      </c>
      <c r="C13" s="7" t="inlineStr">
        <is>
          <t>novel / novella / short-story / collection / cycle / essay / treatise / biography / autobiography / diary / diary-novel</t>
        </is>
      </c>
    </row>
    <row r="14">
      <c r="A14" s="7" t="inlineStr">
        <is>
          <t>audience</t>
        </is>
      </c>
      <c r="B14" s="7" t="inlineStr">
        <is>
          <t>想定読者</t>
        </is>
      </c>
      <c r="C14" s="7" t="inlineStr">
        <is>
          <t>general / juvenile</t>
        </is>
      </c>
    </row>
    <row r="15">
      <c r="A15" s="7" t="inlineStr">
        <is>
          <t>register_level</t>
        </is>
      </c>
      <c r="B15" s="7" t="inlineStr">
        <is>
          <t>文化的位置づけ。v1 の brow を置き換える</t>
        </is>
      </c>
      <c r="C15" s="7" t="inlineStr">
        <is>
          <t>canonical / middlebrow / popular / documentary</t>
        </is>
      </c>
    </row>
    <row r="16">
      <c r="A16" s="7" t="inlineStr">
        <is>
          <t>narration</t>
        </is>
      </c>
      <c r="B16" s="7" t="inlineStr">
        <is>
          <t>語りの視点</t>
        </is>
      </c>
      <c r="C16" s="7" t="inlineStr">
        <is>
          <t>first（一人称）/ third（三人称）/ mixed（作品内で交替・枠物語）/ dialogue（対話体）/ none（非物語）</t>
        </is>
      </c>
    </row>
    <row r="17">
      <c r="A17" s="7" t="inlineStr">
        <is>
          <t>first_medium</t>
        </is>
      </c>
      <c r="B17" s="7" t="inlineStr">
        <is>
          <t>初出媒体</t>
        </is>
      </c>
      <c r="C17" s="7" t="inlineStr">
        <is>
          <t>newspaper / magazine / book</t>
        </is>
      </c>
    </row>
    <row r="18">
      <c r="A18" s="7" t="inlineStr">
        <is>
          <t>kana_orthography</t>
        </is>
      </c>
      <c r="B18" s="7" t="inlineStr">
        <is>
          <t>青空文庫の文字遣い種別</t>
        </is>
      </c>
      <c r="C18" s="7" t="inlineStr">
        <is>
          <t>新字新仮名 / 新字旧仮名 / 旧字旧仮名</t>
        </is>
      </c>
    </row>
    <row r="19">
      <c r="A19" s="7" t="inlineStr">
        <is>
          <t>completeness</t>
        </is>
      </c>
      <c r="B19" s="7" t="inlineStr">
        <is>
          <t>テクストの完全性</t>
        </is>
      </c>
      <c r="C19" s="7" t="inlineStr">
        <is>
          <t>complete / incomplete（原作が未完）/ part（分冊の一冊）/ PARTIAL（一部のみ収録）/ revised（改稿版）/ superseded（v1 の合本。分冊で取り直したので集計から外す）/ DUPLICATE（本文の取り違え）</t>
        </is>
      </c>
    </row>
    <row r="20">
      <c r="A20" s="7" t="inlineStr">
        <is>
          <t>style_class</t>
        </is>
      </c>
      <c r="B20" s="7" t="inlineStr">
        <is>
          <t>文語／口語の経験的3分類。bungo_ratio から自動判定（0.60以上=A / 0.20以上または文語40以上=B / 他=C）</t>
        </is>
      </c>
      <c r="C20" s="7" t="inlineStr">
        <is>
          <t>A_文語体 / B_過渡的文体 / C_口語体</t>
        </is>
      </c>
    </row>
    <row r="21">
      <c r="A21" s="7" t="inlineStr">
        <is>
          <t>bungo_ratio</t>
        </is>
      </c>
      <c r="B21" s="7" t="inlineStr">
        <is>
          <t>文語標識が文語・口語標識全体に占める割合。0（純口語）〜1（純文語）</t>
        </is>
      </c>
      <c r="C21" s="7" t="inlineStr">
        <is>
          <t>style_class の判定根拠。閾値を変えるならこの列で確かめる</t>
        </is>
      </c>
    </row>
    <row r="22">
      <c r="A22" s="7" t="inlineStr">
        <is>
          <t>tokens / types / ttr_x1000</t>
        </is>
      </c>
      <c r="B22" s="7" t="inlineStr">
        <is>
          <t>v1 の分かち書きテクストにおける延べ語数・異なり語数・TTR×1000。※再構築後に更新すること</t>
        </is>
      </c>
      <c r="C22" s="7" t="inlineStr"/>
    </row>
    <row r="23">
      <c r="A23" s="7" t="inlineStr">
        <is>
          <t>kanji_ratio / katakana_ratio</t>
        </is>
      </c>
      <c r="B23" s="7" t="inlineStr">
        <is>
          <t>非空白文字に占める漢字・片仮名の比率</t>
        </is>
      </c>
      <c r="C23" s="7" t="inlineStr"/>
    </row>
    <row r="24">
      <c r="A24" s="7" t="inlineStr">
        <is>
          <t>bungo_per10k / kogo_per10k</t>
        </is>
      </c>
      <c r="B24" s="7" t="inlineStr">
        <is>
          <t>文語助動詞標識・口語助動詞標識の頻度。**1万語あたり**（10000×該当語数÷総語数）であって per million ではない。複合形（である＝で＋ある）も連結して数える</t>
        </is>
      </c>
      <c r="C24" s="7" t="inlineStr"/>
    </row>
    <row r="25">
      <c r="A25" s="7" t="inlineStr">
        <is>
          <t>p1_per10k / p3_per10k</t>
        </is>
      </c>
      <c r="B25" s="7" t="inlineStr">
        <is>
          <t>一人称代名詞・三人称代名詞の**1万語あたり**頻度（narration の裏付け）</t>
        </is>
      </c>
      <c r="C25" s="7" t="inlineStr"/>
    </row>
    <row r="26">
      <c r="A26" s="7" t="inlineStr">
        <is>
          <t>gaiji_lost</t>
        </is>
      </c>
      <c r="B26" s="7" t="inlineStr">
        <is>
          <t>本文に残存する ※ の数＝失われた外字の数。0 でないものは要再構築</t>
        </is>
      </c>
      <c r="C26" s="7" t="inlineStr"/>
    </row>
    <row r="27">
      <c r="A27" s="7" t="inlineStr">
        <is>
          <t>kana_odoriji / kanji_odoriji / ditto_mark</t>
        </is>
      </c>
      <c r="B27" s="7" t="inlineStr">
        <is>
          <t>仮名踊り字（ゝゞヽヾ）・漢字踊り字（々）・同上記号（〃）の数</t>
        </is>
      </c>
      <c r="C27" s="7" t="inlineStr"/>
    </row>
    <row r="28">
      <c r="A28" s="7" t="inlineStr">
        <is>
          <t>latin_chars / arabic_digits</t>
        </is>
      </c>
      <c r="B28" s="7" t="inlineStr">
        <is>
          <t>ラテン文字数・算用数字数。表記正規化の対象量</t>
        </is>
      </c>
      <c r="C28" s="7" t="inlineStr"/>
    </row>
    <row r="29">
      <c r="A29" s="7" t="inlineStr">
        <is>
          <t>note</t>
        </is>
      </c>
      <c r="B29" s="7" t="inlineStr">
        <is>
          <t>作品固有の注記。【重大】【修正】で始まるものは対応必須</t>
        </is>
      </c>
      <c r="C29" s="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2026-09-21T22:47:44Z</dcterms:created>
  <dcterms:modified xmlns:dcterms="http://purl.org/dc/terms/" xmlns:xsi="http://www.w3.org/2001/XMLSchema-instance" xsi:type="dcterms:W3CDTF">2026-09-21T22:47:44Z</dcterms:modified>
</cp:coreProperties>
</file>